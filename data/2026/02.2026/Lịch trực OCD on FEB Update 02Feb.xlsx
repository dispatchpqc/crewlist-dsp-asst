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2.2026/"/>
    </mc:Choice>
  </mc:AlternateContent>
  <xr:revisionPtr revIDLastSave="35" documentId="13_ncr:1_{AE937CA6-CD69-4C0F-B3C2-79F1F8695E22}" xr6:coauthVersionLast="47" xr6:coauthVersionMax="47" xr10:uidLastSave="{B60167B5-11D3-4C8D-A39E-2D6A090AD3E8}"/>
  <bookViews>
    <workbookView xWindow="-120" yWindow="-120" windowWidth="29040" windowHeight="15720" tabRatio="487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6" i="1" l="1" a="1"/>
  <c r="AL26" i="1" s="1"/>
  <c r="AL25" i="1" a="1"/>
  <c r="AL25" i="1" s="1"/>
  <c r="AL24" i="1" a="1"/>
  <c r="AL24" i="1" s="1"/>
  <c r="AL23" i="1" a="1"/>
  <c r="AL23" i="1" s="1"/>
  <c r="AL22" i="1" a="1"/>
  <c r="AL22" i="1" s="1"/>
  <c r="AL21" i="1" a="1"/>
  <c r="AL21" i="1" s="1"/>
  <c r="AL20" i="1" a="1"/>
  <c r="AL20" i="1" s="1"/>
  <c r="AL19" i="1" a="1"/>
  <c r="AL19" i="1" s="1"/>
  <c r="AL18" i="1" a="1"/>
  <c r="AL18" i="1" s="1"/>
  <c r="AL17" i="1" a="1"/>
  <c r="AL17" i="1" s="1"/>
  <c r="AL16" i="1" a="1"/>
  <c r="AL16" i="1" s="1"/>
  <c r="AL15" i="1" a="1"/>
  <c r="AL15" i="1" s="1"/>
  <c r="AL14" i="1" a="1"/>
  <c r="AL14" i="1" s="1"/>
  <c r="AL13" i="1" a="1"/>
  <c r="AL13" i="1" s="1"/>
  <c r="AL12" i="1" a="1"/>
  <c r="AL12" i="1" s="1"/>
  <c r="B8" i="1" l="1"/>
  <c r="AK25" i="1" l="1"/>
  <c r="AJ25" i="1"/>
  <c r="AI25" i="1"/>
  <c r="AM25" i="1" s="1"/>
  <c r="I27" i="1" l="1"/>
  <c r="J27" i="1"/>
  <c r="I28" i="1"/>
  <c r="J28" i="1"/>
  <c r="I29" i="1"/>
  <c r="J29" i="1"/>
  <c r="D27" i="1"/>
  <c r="D28" i="1"/>
  <c r="AI14" i="1"/>
  <c r="AJ14" i="1" l="1"/>
  <c r="AK14" i="1"/>
  <c r="E27" i="1"/>
  <c r="F27" i="1"/>
  <c r="G27" i="1"/>
  <c r="H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E28" i="1"/>
  <c r="F28" i="1"/>
  <c r="G28" i="1"/>
  <c r="H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E29" i="1"/>
  <c r="F29" i="1"/>
  <c r="G29" i="1"/>
  <c r="H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D29" i="1"/>
  <c r="AK26" i="1"/>
  <c r="AJ26" i="1"/>
  <c r="AI26" i="1"/>
  <c r="AK24" i="1"/>
  <c r="AJ24" i="1"/>
  <c r="AI24" i="1"/>
  <c r="AK23" i="1"/>
  <c r="AJ23" i="1"/>
  <c r="AI23" i="1"/>
  <c r="AK22" i="1"/>
  <c r="AJ22" i="1"/>
  <c r="AI22" i="1"/>
  <c r="AK21" i="1"/>
  <c r="AJ21" i="1"/>
  <c r="AI21" i="1"/>
  <c r="AK20" i="1"/>
  <c r="AJ20" i="1"/>
  <c r="AI20" i="1"/>
  <c r="AK17" i="1"/>
  <c r="AJ17" i="1"/>
  <c r="AI17" i="1"/>
  <c r="AK19" i="1"/>
  <c r="AJ19" i="1"/>
  <c r="AI19" i="1"/>
  <c r="AK18" i="1"/>
  <c r="AJ18" i="1"/>
  <c r="AI18" i="1"/>
  <c r="AK16" i="1"/>
  <c r="AJ16" i="1"/>
  <c r="AI16" i="1"/>
  <c r="AK13" i="1"/>
  <c r="AJ13" i="1"/>
  <c r="AI13" i="1"/>
  <c r="AK15" i="1"/>
  <c r="AJ15" i="1"/>
  <c r="AI15" i="1"/>
  <c r="AK12" i="1"/>
  <c r="AJ12" i="1"/>
  <c r="AI12" i="1"/>
  <c r="AM16" i="1" l="1"/>
  <c r="AM15" i="1"/>
  <c r="AM14" i="1"/>
  <c r="AM13" i="1"/>
  <c r="AM12" i="1"/>
  <c r="AM24" i="1"/>
  <c r="AM22" i="1"/>
  <c r="AM23" i="1"/>
  <c r="AM21" i="1"/>
  <c r="AM20" i="1"/>
  <c r="AM19" i="1"/>
  <c r="AM18" i="1"/>
  <c r="AM17" i="1"/>
  <c r="AM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<sst xmlns="http://schemas.openxmlformats.org/spreadsheetml/2006/main" count="412" uniqueCount="86">
  <si>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</si>
  <si>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</si>
  <si>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</si>
  <si>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</si>
  <si>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</si>
  <si>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</si>
  <si>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</si>
  <si>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r>
      <t xml:space="preserve">Tháng </t>
    </r>
    <r>
      <rPr>
        <b/>
        <sz val="11"/>
        <color rgb="FFFF0000"/>
        <rFont val="Times New Roman"/>
        <family val="1"/>
      </rPr>
      <t>02</t>
    </r>
    <r>
      <rPr>
        <b/>
        <sz val="11"/>
        <color theme="1"/>
        <rFont val="Times New Roman"/>
        <family val="1"/>
      </rPr>
      <t>/2026</t>
    </r>
  </si>
  <si>
    <t>Tết Nguyên Đán (1 Nghỉ Tuần + 5 Nghỉ Lễ)</t>
  </si>
  <si>
    <t>01</t>
  </si>
  <si>
    <t>02</t>
  </si>
  <si>
    <t>03</t>
  </si>
  <si>
    <t>04</t>
  </si>
  <si>
    <t>Vị trí trực</t>
  </si>
  <si>
    <t>Mã 
nhân viên</t>
  </si>
  <si>
    <t>Họ tên</t>
  </si>
  <si>
    <t>Tổng ca</t>
  </si>
  <si>
    <t>Ca nghỉ</t>
  </si>
  <si>
    <t>Tổng giờ công</t>
  </si>
  <si>
    <t>Note</t>
  </si>
  <si>
    <t>T.Hai</t>
  </si>
  <si>
    <t>T.Ba</t>
  </si>
  <si>
    <t>T.Tư</t>
  </si>
  <si>
    <t>T.Năm</t>
  </si>
  <si>
    <t>T.Sáu</t>
  </si>
  <si>
    <t>T.Bảy</t>
  </si>
  <si>
    <t>C.Nhật</t>
  </si>
  <si>
    <t>Ca HC</t>
  </si>
  <si>
    <t>Ca M</t>
  </si>
  <si>
    <t>Ca E</t>
  </si>
  <si>
    <t>NL: Nghỉ lễ
P: Phép
B: Bù</t>
  </si>
  <si>
    <t>DM</t>
  </si>
  <si>
    <t>030346</t>
  </si>
  <si>
    <t>Đàm Xuân Hiến</t>
  </si>
  <si>
    <t>M</t>
  </si>
  <si>
    <t>E</t>
  </si>
  <si>
    <t>HC</t>
  </si>
  <si>
    <t>NL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</si>
  <si>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</si>
  <si>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</si>
  <si>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</si>
  <si>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</si>
  <si>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</si>
  <si>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</si>
  <si>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</si>
  <si>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</si>
  <si>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DSP HDQ</t>
  </si>
  <si>
    <t>030841</t>
  </si>
  <si>
    <t>Vũ Hoàng Long</t>
  </si>
  <si>
    <t>030904</t>
  </si>
  <si>
    <t>Trần Đình Đạt</t>
  </si>
  <si>
    <t>030905</t>
  </si>
  <si>
    <t>Nguyễn Trường Hoàng Hưng</t>
  </si>
  <si>
    <t>030906</t>
  </si>
  <si>
    <t>Vũ Hoàng Hải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</si>
  <si>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</si>
  <si>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</si>
  <si>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</si>
  <si>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</si>
  <si>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</si>
  <si>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</si>
  <si>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</si>
  <si>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</si>
  <si>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</si>
  <si>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</si>
  <si>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</si>
  <si>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</si>
  <si>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</si>
  <si>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</si>
  <si>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</si>
  <si>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</si>
  <si>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</si>
  <si>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</si>
  <si>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</si>
  <si>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</si>
  <si>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</si>
  <si>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</si>
  <si>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</si>
  <si>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</si>
  <si>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</si>
  <si>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Hà Nội, ngày 20 tháng 01 năm 2026</t>
  </si>
  <si>
    <t>Trainning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</si>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</sst>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16" xfId="0" quotePrefix="1" applyFont="1" applyBorder="1" applyAlignment="1">
      <alignment horizontal="center" vertical="center"/>
    </xf>
    <xf numFmtId="0" fontId="1" fillId="0" borderId="41" xfId="0" quotePrefix="1" applyFont="1" applyBorder="1" applyAlignment="1">
      <alignment horizontal="center" vertical="center"/>
    </xf>
    <xf numFmtId="0" fontId="1" fillId="0" borderId="42" xfId="0" quotePrefix="1" applyFont="1" applyBorder="1" applyAlignment="1">
      <alignment horizontal="center" vertical="center"/>
    </xf>
    <xf numFmtId="0" fontId="1" fillId="0" borderId="46" xfId="0" quotePrefix="1" applyFont="1" applyBorder="1" applyAlignment="1">
      <alignment horizontal="center" vertical="center"/>
    </xf>
    <xf numFmtId="0" fontId="1" fillId="0" borderId="47" xfId="0" quotePrefix="1" applyFont="1" applyBorder="1" applyAlignment="1">
      <alignment horizontal="center" vertical="center"/>
    </xf>
    <xf numFmtId="0" fontId="1" fillId="0" borderId="48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2" borderId="12" xfId="0" applyFont="1" applyFill="1" applyBorder="1"/>
    <xf numFmtId="0" fontId="8" fillId="0" borderId="0" xfId="0" applyFont="1"/>
    <xf numFmtId="0" fontId="10" fillId="2" borderId="12" xfId="0" applyFont="1" applyFill="1" applyBorder="1"/>
    <xf numFmtId="0" fontId="9" fillId="0" borderId="20" xfId="0" applyFont="1" applyBorder="1"/>
    <xf numFmtId="0" fontId="9" fillId="0" borderId="21" xfId="0" applyFont="1" applyBorder="1"/>
    <xf numFmtId="0" fontId="10" fillId="0" borderId="21" xfId="0" applyFont="1" applyBorder="1"/>
    <xf numFmtId="0" fontId="9" fillId="0" borderId="22" xfId="0" applyFont="1" applyBorder="1"/>
    <xf numFmtId="0" fontId="9" fillId="0" borderId="50" xfId="0" applyFont="1" applyBorder="1"/>
    <xf numFmtId="0" fontId="9" fillId="0" borderId="12" xfId="0" applyFont="1" applyBorder="1"/>
    <xf numFmtId="0" fontId="9" fillId="0" borderId="23" xfId="0" applyFont="1" applyBorder="1"/>
    <xf numFmtId="0" fontId="10" fillId="0" borderId="12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45" xfId="0" applyFont="1" applyBorder="1"/>
    <xf numFmtId="0" fontId="9" fillId="0" borderId="51" xfId="0" applyFont="1" applyBorder="1"/>
    <xf numFmtId="0" fontId="10" fillId="0" borderId="51" xfId="0" applyFont="1" applyBorder="1"/>
    <xf numFmtId="0" fontId="10" fillId="0" borderId="52" xfId="0" applyFont="1" applyBorder="1"/>
    <xf numFmtId="0" fontId="10" fillId="0" borderId="23" xfId="0" applyFont="1" applyBorder="1"/>
    <xf numFmtId="0" fontId="9" fillId="0" borderId="49" xfId="0" applyFont="1" applyBorder="1"/>
    <xf numFmtId="0" fontId="9" fillId="0" borderId="13" xfId="0" applyFont="1" applyBorder="1"/>
    <xf numFmtId="0" fontId="10" fillId="0" borderId="13" xfId="0" applyFont="1" applyBorder="1"/>
    <xf numFmtId="0" fontId="10" fillId="0" borderId="31" xfId="0" applyFont="1" applyBorder="1"/>
    <xf numFmtId="0" fontId="9" fillId="0" borderId="17" xfId="0" applyFont="1" applyBorder="1"/>
    <xf numFmtId="0" fontId="9" fillId="0" borderId="31" xfId="0" applyFont="1" applyBorder="1"/>
    <xf numFmtId="0" fontId="1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textRotation="90"/>
    </xf>
    <xf numFmtId="0" fontId="1" fillId="0" borderId="20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textRotation="90"/>
    </xf>
    <xf numFmtId="0" fontId="1" fillId="6" borderId="21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textRotation="90"/>
    </xf>
    <xf numFmtId="0" fontId="1" fillId="0" borderId="30" xfId="0" applyFont="1" applyBorder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0" fontId="1" fillId="0" borderId="26" xfId="0" quotePrefix="1" applyFont="1" applyBorder="1" applyAlignment="1">
      <alignment horizontal="center" vertical="center"/>
    </xf>
    <xf numFmtId="0" fontId="1" fillId="0" borderId="44" xfId="0" quotePrefix="1" applyFont="1" applyBorder="1" applyAlignment="1">
      <alignment horizontal="center" vertical="center"/>
    </xf>
    <xf numFmtId="0" fontId="9" fillId="0" borderId="29" xfId="0" applyFont="1" applyBorder="1"/>
    <xf numFmtId="0" fontId="9" fillId="0" borderId="40" xfId="0" applyFont="1" applyBorder="1"/>
    <xf numFmtId="0" fontId="1" fillId="0" borderId="46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2" borderId="0" xfId="0" applyFill="1"/>
    <xf numFmtId="0" fontId="1" fillId="4" borderId="13" xfId="0" applyFont="1" applyFill="1" applyBorder="1" applyAlignment="1">
      <alignment horizontal="center" textRotation="90"/>
    </xf>
    <xf numFmtId="49" fontId="7" fillId="0" borderId="0" xfId="0" applyNumberFormat="1" applyFont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1" fillId="0" borderId="12" xfId="0" applyFont="1" applyBorder="1"/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38" xfId="0" applyFont="1" applyBorder="1"/>
    <xf numFmtId="0" fontId="9" fillId="2" borderId="13" xfId="0" applyFont="1" applyFill="1" applyBorder="1"/>
    <xf numFmtId="0" fontId="9" fillId="2" borderId="21" xfId="0" applyFont="1" applyFill="1" applyBorder="1"/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textRotation="90"/>
    </xf>
    <xf numFmtId="0" fontId="9" fillId="0" borderId="56" xfId="0" applyFont="1" applyBorder="1"/>
    <xf numFmtId="0" fontId="9" fillId="0" borderId="58" xfId="0" applyFont="1" applyBorder="1"/>
    <xf numFmtId="0" fontId="10" fillId="2" borderId="59" xfId="0" applyFont="1" applyFill="1" applyBorder="1"/>
    <xf numFmtId="0" fontId="10" fillId="0" borderId="60" xfId="0" applyFont="1" applyBorder="1"/>
    <xf numFmtId="0" fontId="10" fillId="0" borderId="58" xfId="0" applyFont="1" applyBorder="1"/>
    <xf numFmtId="0" fontId="10" fillId="0" borderId="57" xfId="0" applyFont="1" applyBorder="1"/>
    <xf numFmtId="0" fontId="9" fillId="0" borderId="57" xfId="0" applyFont="1" applyBorder="1"/>
    <xf numFmtId="0" fontId="9" fillId="0" borderId="59" xfId="0" applyFont="1" applyBorder="1"/>
    <xf numFmtId="0" fontId="1" fillId="0" borderId="2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textRotation="90"/>
    </xf>
    <xf numFmtId="0" fontId="10" fillId="0" borderId="61" xfId="0" applyFont="1" applyBorder="1"/>
    <xf numFmtId="0" fontId="10" fillId="0" borderId="17" xfId="0" applyFont="1" applyBorder="1"/>
    <xf numFmtId="0" fontId="9" fillId="0" borderId="18" xfId="0" applyFont="1" applyBorder="1"/>
    <xf numFmtId="0" fontId="1" fillId="6" borderId="20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textRotation="90"/>
    </xf>
    <xf numFmtId="0" fontId="1" fillId="4" borderId="31" xfId="0" applyFont="1" applyFill="1" applyBorder="1" applyAlignment="1">
      <alignment horizontal="center" textRotation="90"/>
    </xf>
    <xf numFmtId="0" fontId="10" fillId="0" borderId="20" xfId="0" applyFont="1" applyBorder="1"/>
    <xf numFmtId="0" fontId="9" fillId="2" borderId="62" xfId="0" applyFont="1" applyFill="1" applyBorder="1"/>
    <xf numFmtId="0" fontId="10" fillId="0" borderId="45" xfId="0" applyFont="1" applyBorder="1"/>
    <xf numFmtId="0" fontId="10" fillId="0" borderId="50" xfId="0" applyFont="1" applyBorder="1"/>
    <xf numFmtId="0" fontId="10" fillId="0" borderId="49" xfId="0" applyFont="1" applyBorder="1"/>
    <xf numFmtId="0" fontId="9" fillId="0" borderId="62" xfId="0" applyFont="1" applyBorder="1"/>
    <xf numFmtId="0" fontId="1" fillId="0" borderId="15" xfId="0" quotePrefix="1" applyFont="1" applyBorder="1" applyAlignment="1">
      <alignment horizontal="center" vertical="center"/>
    </xf>
    <xf numFmtId="0" fontId="9" fillId="2" borderId="50" xfId="0" applyFont="1" applyFill="1" applyBorder="1"/>
    <xf numFmtId="0" fontId="5" fillId="5" borderId="0" xfId="0" applyFont="1" applyFill="1" applyAlignment="1">
      <alignment vertical="center"/>
    </xf>
    <xf numFmtId="0" fontId="0" fillId="0" borderId="12" xfId="0" applyBorder="1"/>
    <xf numFmtId="0" fontId="1" fillId="4" borderId="50" xfId="0" applyFont="1" applyFill="1" applyBorder="1" applyAlignment="1">
      <alignment horizontal="center" vertical="center"/>
    </xf>
    <xf numFmtId="0" fontId="1" fillId="4" borderId="62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2" fillId="4" borderId="62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13" fillId="7" borderId="25" xfId="0" applyFont="1" applyFill="1" applyBorder="1"/>
    <xf numFmtId="0" fontId="1" fillId="8" borderId="0" xfId="0" applyFont="1" applyFill="1"/>
    <xf numFmtId="0" fontId="9" fillId="8" borderId="12" xfId="0" applyFont="1" applyFill="1" applyBorder="1"/>
    <xf numFmtId="0" fontId="9" fillId="8" borderId="58" xfId="0" applyFont="1" applyFill="1" applyBorder="1"/>
    <xf numFmtId="0" fontId="1" fillId="4" borderId="49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3" fillId="7" borderId="31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20" xfId="0" applyFont="1" applyBorder="1"/>
    <xf numFmtId="0" fontId="0" fillId="0" borderId="21" xfId="0" applyBorder="1"/>
    <xf numFmtId="0" fontId="1" fillId="0" borderId="22" xfId="0" applyFont="1" applyBorder="1"/>
    <xf numFmtId="0" fontId="1" fillId="0" borderId="50" xfId="0" applyFont="1" applyBorder="1"/>
    <xf numFmtId="0" fontId="1" fillId="0" borderId="23" xfId="0" applyFont="1" applyBorder="1"/>
    <xf numFmtId="0" fontId="1" fillId="0" borderId="62" xfId="0" applyFont="1" applyBorder="1"/>
    <xf numFmtId="0" fontId="0" fillId="0" borderId="24" xfId="0" applyBorder="1"/>
    <xf numFmtId="0" fontId="1" fillId="0" borderId="25" xfId="0" applyFont="1" applyBorder="1"/>
    <xf numFmtId="0" fontId="2" fillId="7" borderId="24" xfId="0" applyFont="1" applyFill="1" applyBorder="1" applyAlignment="1">
      <alignment horizontal="center" vertical="center" wrapText="1"/>
    </xf>
    <xf numFmtId="0" fontId="9" fillId="2" borderId="56" xfId="0" applyFont="1" applyFill="1" applyBorder="1"/>
    <xf numFmtId="0" fontId="14" fillId="0" borderId="21" xfId="0" applyFont="1" applyBorder="1"/>
    <xf numFmtId="0" fontId="14" fillId="0" borderId="22" xfId="0" applyFont="1" applyBorder="1"/>
    <xf numFmtId="0" fontId="14" fillId="0" borderId="12" xfId="0" applyFont="1" applyBorder="1"/>
    <xf numFmtId="0" fontId="14" fillId="0" borderId="23" xfId="0" applyFont="1" applyBorder="1"/>
    <xf numFmtId="0" fontId="14" fillId="2" borderId="12" xfId="0" applyFont="1" applyFill="1" applyBorder="1"/>
    <xf numFmtId="0" fontId="14" fillId="2" borderId="23" xfId="0" applyFont="1" applyFill="1" applyBorder="1"/>
    <xf numFmtId="0" fontId="14" fillId="2" borderId="24" xfId="0" applyFont="1" applyFill="1" applyBorder="1"/>
    <xf numFmtId="0" fontId="14" fillId="0" borderId="51" xfId="0" applyFont="1" applyBorder="1"/>
    <xf numFmtId="0" fontId="14" fillId="0" borderId="13" xfId="0" applyFont="1" applyBorder="1"/>
    <xf numFmtId="0" fontId="10" fillId="0" borderId="18" xfId="0" applyFont="1" applyBorder="1"/>
    <xf numFmtId="0" fontId="4" fillId="0" borderId="0" xfId="0" applyFont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EBED3"/>
      <color rgb="FFFDA1C0"/>
      <color rgb="FFFDBFCF"/>
      <color rgb="FFFEF0F3"/>
      <color rgb="FFFFEFF7"/>
      <color rgb="FFFFEFF3"/>
      <color rgb="FFFFFF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7"/>
  <sheetViews>
    <sheetView tabSelected="1" zoomScaleNormal="100" workbookViewId="0">
      <pane xSplit="4" ySplit="11" topLeftCell="E12" activePane="bottomRight" state="frozen"/>
      <selection pane="bottomRight" activeCell="AU29" sqref="AU29"/>
      <selection pane="bottomLeft" activeCell="A12" sqref="A12"/>
      <selection pane="topRight" activeCell="D1" sqref="D1"/>
    </sheetView>
  </sheetViews>
  <sheetFormatPr defaultColWidth="8.5703125" defaultRowHeight="15"/>
  <cols>
    <col min="1" max="1" width="15.140625" customWidth="1"/>
    <col min="2" max="2" width="9.5703125" customWidth="1"/>
    <col min="3" max="3" width="27.85546875" bestFit="1" customWidth="1"/>
    <col min="4" max="14" width="3.5703125" customWidth="1"/>
    <col min="15" max="15" width="3.42578125" customWidth="1"/>
    <col min="16" max="34" width="3.5703125" customWidth="1"/>
    <col min="35" max="37" width="8.42578125" customWidth="1"/>
    <col min="38" max="38" width="12.42578125" customWidth="1"/>
    <col min="39" max="39" width="16" customWidth="1"/>
    <col min="40" max="40" width="16.5703125" bestFit="1" customWidth="1"/>
  </cols>
  <sheetData>
    <row r="1" spans="1:40" ht="14.85" customHeight="1">
      <c r="A1" s="150" t="s">
        <v>0</v>
      </c>
      <c r="B1" s="159" t="s">
        <v>1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1"/>
      <c r="AI1" s="10" t="s">
        <v>2</v>
      </c>
      <c r="AJ1" s="11"/>
      <c r="AK1" s="12"/>
      <c r="AL1" s="107"/>
    </row>
    <row r="2" spans="1:40" ht="14.85" customHeight="1">
      <c r="A2" s="151"/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4"/>
      <c r="AI2" s="13" t="s">
        <v>3</v>
      </c>
      <c r="AJ2" s="5"/>
      <c r="AK2" s="6"/>
      <c r="AL2" s="5"/>
    </row>
    <row r="3" spans="1:40" ht="14.85" customHeight="1">
      <c r="A3" s="151"/>
      <c r="B3" s="162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4"/>
      <c r="AI3" s="13" t="s">
        <v>4</v>
      </c>
      <c r="AJ3" s="5"/>
      <c r="AK3" s="6"/>
      <c r="AL3" s="5"/>
    </row>
    <row r="4" spans="1:40" ht="14.85" customHeight="1">
      <c r="A4" s="151"/>
      <c r="B4" s="162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4"/>
      <c r="AI4" s="13" t="s">
        <v>5</v>
      </c>
      <c r="AJ4" s="5"/>
      <c r="AK4" s="6"/>
      <c r="AL4" s="5"/>
    </row>
    <row r="5" spans="1:40" ht="15" customHeight="1" thickBot="1">
      <c r="A5" s="152"/>
      <c r="B5" s="165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7"/>
      <c r="AI5" s="7"/>
      <c r="AJ5" s="8"/>
      <c r="AK5" s="9"/>
      <c r="AL5" s="5"/>
    </row>
    <row r="7" spans="1:40">
      <c r="A7" s="1" t="s">
        <v>6</v>
      </c>
      <c r="B7" s="26">
        <v>27</v>
      </c>
      <c r="C7" s="26"/>
      <c r="AI7" s="1"/>
    </row>
    <row r="8" spans="1:40">
      <c r="A8" s="3" t="s">
        <v>7</v>
      </c>
      <c r="B8" s="26">
        <f>B7*8</f>
        <v>216</v>
      </c>
      <c r="U8" s="178" t="s">
        <v>8</v>
      </c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</row>
    <row r="9" spans="1:40" ht="15.75" thickBot="1">
      <c r="X9" s="69">
        <v>28</v>
      </c>
      <c r="Y9" s="69">
        <v>29</v>
      </c>
      <c r="Z9" s="69" t="s">
        <v>9</v>
      </c>
      <c r="AA9" s="69" t="s">
        <v>10</v>
      </c>
      <c r="AB9" s="69" t="s">
        <v>11</v>
      </c>
      <c r="AC9" s="69" t="s">
        <v>12</v>
      </c>
    </row>
    <row r="10" spans="1:40">
      <c r="A10" s="157" t="s">
        <v>13</v>
      </c>
      <c r="B10" s="153" t="s">
        <v>14</v>
      </c>
      <c r="C10" s="155" t="s">
        <v>15</v>
      </c>
      <c r="D10" s="55">
        <v>26</v>
      </c>
      <c r="E10" s="53">
        <v>27</v>
      </c>
      <c r="F10" s="53">
        <v>28</v>
      </c>
      <c r="G10" s="53">
        <v>29</v>
      </c>
      <c r="H10" s="53">
        <v>30</v>
      </c>
      <c r="I10" s="53">
        <v>31</v>
      </c>
      <c r="J10" s="57">
        <v>1</v>
      </c>
      <c r="K10" s="53">
        <v>2</v>
      </c>
      <c r="L10" s="53">
        <v>3</v>
      </c>
      <c r="M10" s="53">
        <v>4</v>
      </c>
      <c r="N10" s="53">
        <v>5</v>
      </c>
      <c r="O10" s="53">
        <v>6</v>
      </c>
      <c r="P10" s="53">
        <v>7</v>
      </c>
      <c r="Q10" s="57">
        <v>8</v>
      </c>
      <c r="R10" s="53">
        <v>9</v>
      </c>
      <c r="S10" s="53">
        <v>10</v>
      </c>
      <c r="T10" s="53">
        <v>11</v>
      </c>
      <c r="U10" s="53">
        <v>12</v>
      </c>
      <c r="V10" s="53">
        <v>13</v>
      </c>
      <c r="W10" s="81">
        <v>14</v>
      </c>
      <c r="X10" s="96">
        <v>15</v>
      </c>
      <c r="Y10" s="17">
        <v>16</v>
      </c>
      <c r="Z10" s="17">
        <v>17</v>
      </c>
      <c r="AA10" s="17">
        <v>18</v>
      </c>
      <c r="AB10" s="17">
        <v>19</v>
      </c>
      <c r="AC10" s="18">
        <v>20</v>
      </c>
      <c r="AD10" s="91">
        <v>21</v>
      </c>
      <c r="AE10" s="57">
        <v>22</v>
      </c>
      <c r="AF10" s="53">
        <v>23</v>
      </c>
      <c r="AG10" s="53">
        <v>24</v>
      </c>
      <c r="AH10" s="81">
        <v>25</v>
      </c>
      <c r="AI10" s="148" t="s">
        <v>16</v>
      </c>
      <c r="AJ10" s="149"/>
      <c r="AK10" s="149"/>
      <c r="AL10" s="111" t="s">
        <v>17</v>
      </c>
      <c r="AM10" s="112" t="s">
        <v>18</v>
      </c>
      <c r="AN10" s="30" t="s">
        <v>19</v>
      </c>
    </row>
    <row r="11" spans="1:40" ht="43.5" thickBot="1">
      <c r="A11" s="158"/>
      <c r="B11" s="154"/>
      <c r="C11" s="156"/>
      <c r="D11" s="56" t="s">
        <v>20</v>
      </c>
      <c r="E11" s="54" t="s">
        <v>21</v>
      </c>
      <c r="F11" s="54" t="s">
        <v>22</v>
      </c>
      <c r="G11" s="54" t="s">
        <v>23</v>
      </c>
      <c r="H11" s="54" t="s">
        <v>24</v>
      </c>
      <c r="I11" s="54" t="s">
        <v>25</v>
      </c>
      <c r="J11" s="58" t="s">
        <v>26</v>
      </c>
      <c r="K11" s="54" t="s">
        <v>20</v>
      </c>
      <c r="L11" s="54" t="s">
        <v>21</v>
      </c>
      <c r="M11" s="54" t="s">
        <v>22</v>
      </c>
      <c r="N11" s="54" t="s">
        <v>23</v>
      </c>
      <c r="O11" s="54" t="s">
        <v>24</v>
      </c>
      <c r="P11" s="54" t="s">
        <v>25</v>
      </c>
      <c r="Q11" s="58" t="s">
        <v>26</v>
      </c>
      <c r="R11" s="54" t="s">
        <v>20</v>
      </c>
      <c r="S11" s="54" t="s">
        <v>21</v>
      </c>
      <c r="T11" s="54" t="s">
        <v>22</v>
      </c>
      <c r="U11" s="54" t="s">
        <v>23</v>
      </c>
      <c r="V11" s="54" t="s">
        <v>24</v>
      </c>
      <c r="W11" s="82" t="s">
        <v>25</v>
      </c>
      <c r="X11" s="97" t="s">
        <v>26</v>
      </c>
      <c r="Y11" s="68" t="s">
        <v>20</v>
      </c>
      <c r="Z11" s="68" t="s">
        <v>21</v>
      </c>
      <c r="AA11" s="68" t="s">
        <v>22</v>
      </c>
      <c r="AB11" s="68" t="s">
        <v>23</v>
      </c>
      <c r="AC11" s="98" t="s">
        <v>24</v>
      </c>
      <c r="AD11" s="92" t="s">
        <v>25</v>
      </c>
      <c r="AE11" s="58" t="s">
        <v>26</v>
      </c>
      <c r="AF11" s="54" t="s">
        <v>20</v>
      </c>
      <c r="AG11" s="54" t="s">
        <v>21</v>
      </c>
      <c r="AH11" s="82" t="s">
        <v>22</v>
      </c>
      <c r="AI11" s="117" t="s">
        <v>27</v>
      </c>
      <c r="AJ11" s="118" t="s">
        <v>28</v>
      </c>
      <c r="AK11" s="118" t="s">
        <v>29</v>
      </c>
      <c r="AL11" s="135" t="s">
        <v>30</v>
      </c>
      <c r="AM11" s="119"/>
    </row>
    <row r="12" spans="1:40">
      <c r="A12" s="174" t="s">
        <v>31</v>
      </c>
      <c r="B12" s="23" t="s">
        <v>32</v>
      </c>
      <c r="C12" s="73" t="s">
        <v>33</v>
      </c>
      <c r="D12" s="63"/>
      <c r="E12" s="33"/>
      <c r="F12" s="33" t="s">
        <v>34</v>
      </c>
      <c r="G12" s="33" t="s">
        <v>35</v>
      </c>
      <c r="H12" s="33"/>
      <c r="I12" s="33"/>
      <c r="J12" s="33"/>
      <c r="K12" s="34" t="s">
        <v>34</v>
      </c>
      <c r="L12" s="33" t="s">
        <v>35</v>
      </c>
      <c r="M12" s="80"/>
      <c r="N12" s="80" t="s">
        <v>36</v>
      </c>
      <c r="O12" s="33" t="s">
        <v>34</v>
      </c>
      <c r="P12" s="33" t="s">
        <v>34</v>
      </c>
      <c r="Q12" s="33" t="s">
        <v>35</v>
      </c>
      <c r="R12" s="33"/>
      <c r="S12" s="33" t="s">
        <v>34</v>
      </c>
      <c r="T12" s="33" t="s">
        <v>35</v>
      </c>
      <c r="U12" s="33"/>
      <c r="V12" s="33" t="s">
        <v>34</v>
      </c>
      <c r="W12" s="136"/>
      <c r="X12" s="99"/>
      <c r="Y12" s="33" t="s">
        <v>34</v>
      </c>
      <c r="Z12" s="33" t="s">
        <v>35</v>
      </c>
      <c r="AA12" s="137" t="s">
        <v>37</v>
      </c>
      <c r="AB12" s="33" t="s">
        <v>35</v>
      </c>
      <c r="AC12" s="138" t="s">
        <v>37</v>
      </c>
      <c r="AD12" s="32"/>
      <c r="AE12" s="33"/>
      <c r="AF12" s="33" t="s">
        <v>34</v>
      </c>
      <c r="AG12" s="33" t="s">
        <v>35</v>
      </c>
      <c r="AH12" s="83" t="s">
        <v>35</v>
      </c>
      <c r="AI12" s="126">
        <f t="shared" ref="AI12:AI26" si="0">COUNTIF(D12:AH12,"HC")</f>
        <v>1</v>
      </c>
      <c r="AJ12" s="17">
        <f t="shared" ref="AJ12:AJ26" si="1">COUNTIF(D12:AH12,"M")</f>
        <v>8</v>
      </c>
      <c r="AK12" s="17">
        <f t="shared" ref="AK12:AK26" si="2">COUNTIF(D12:AH12,"E")</f>
        <v>8</v>
      </c>
      <c r="AL12" s="111" cm="1">
        <f t="array" ref="AL12">SUM(COUNTIF(D12:AH12,{"NL","P","B"}))</f>
        <v>2</v>
      </c>
      <c r="AM12" s="112">
        <f>AI12*8+AJ12*12+AK12*12+AL12*8</f>
        <v>216</v>
      </c>
    </row>
    <row r="13" spans="1:40">
      <c r="A13" s="175"/>
      <c r="B13" s="24" t="s">
        <v>38</v>
      </c>
      <c r="C13" s="74" t="s">
        <v>39</v>
      </c>
      <c r="D13" s="51"/>
      <c r="E13" s="37"/>
      <c r="F13" s="37"/>
      <c r="G13" s="37" t="s">
        <v>34</v>
      </c>
      <c r="H13" s="37" t="s">
        <v>35</v>
      </c>
      <c r="I13" s="37" t="s">
        <v>35</v>
      </c>
      <c r="J13" s="37"/>
      <c r="K13" s="37"/>
      <c r="L13" s="37" t="s">
        <v>34</v>
      </c>
      <c r="M13" s="37" t="s">
        <v>35</v>
      </c>
      <c r="N13" s="37" t="s">
        <v>35</v>
      </c>
      <c r="O13" s="37"/>
      <c r="P13" s="29"/>
      <c r="Q13" s="29"/>
      <c r="R13" s="37" t="s">
        <v>35</v>
      </c>
      <c r="S13" s="37"/>
      <c r="T13" s="37" t="s">
        <v>34</v>
      </c>
      <c r="U13" s="37"/>
      <c r="V13" s="37" t="s">
        <v>34</v>
      </c>
      <c r="W13" s="84" t="s">
        <v>34</v>
      </c>
      <c r="X13" s="36" t="s">
        <v>35</v>
      </c>
      <c r="Y13" s="139" t="s">
        <v>37</v>
      </c>
      <c r="Z13" s="139" t="s">
        <v>37</v>
      </c>
      <c r="AA13" s="139" t="s">
        <v>37</v>
      </c>
      <c r="AB13" s="37" t="s">
        <v>34</v>
      </c>
      <c r="AC13" s="38" t="s">
        <v>35</v>
      </c>
      <c r="AD13" s="36"/>
      <c r="AE13" s="37" t="s">
        <v>34</v>
      </c>
      <c r="AF13" s="37" t="s">
        <v>35</v>
      </c>
      <c r="AG13" s="37" t="s">
        <v>35</v>
      </c>
      <c r="AH13" s="84"/>
      <c r="AI13" s="109">
        <f t="shared" si="0"/>
        <v>0</v>
      </c>
      <c r="AJ13" s="2">
        <f t="shared" si="1"/>
        <v>7</v>
      </c>
      <c r="AK13" s="2">
        <f t="shared" si="2"/>
        <v>9</v>
      </c>
      <c r="AL13" s="113" cm="1">
        <f t="array" ref="AL13">SUM(COUNTIF(D13:AH13,{"NL","P","B"}))</f>
        <v>3</v>
      </c>
      <c r="AM13" s="114">
        <f t="shared" ref="AM13:AM26" si="3">AI13*8+AJ13*12+AK13*12+AL13*8</f>
        <v>216</v>
      </c>
      <c r="AN13" s="30"/>
    </row>
    <row r="14" spans="1:40">
      <c r="A14" s="175"/>
      <c r="B14" s="24" t="s">
        <v>40</v>
      </c>
      <c r="C14" s="74" t="s">
        <v>41</v>
      </c>
      <c r="D14" s="51" t="s">
        <v>35</v>
      </c>
      <c r="E14" s="37"/>
      <c r="F14" s="37"/>
      <c r="G14" s="37"/>
      <c r="H14" s="37" t="s">
        <v>34</v>
      </c>
      <c r="I14" s="29"/>
      <c r="J14" s="29"/>
      <c r="K14" s="37" t="s">
        <v>35</v>
      </c>
      <c r="L14" s="37"/>
      <c r="M14" s="37" t="s">
        <v>34</v>
      </c>
      <c r="N14" s="37"/>
      <c r="O14" s="37"/>
      <c r="P14" s="37" t="s">
        <v>35</v>
      </c>
      <c r="Q14" s="37"/>
      <c r="R14" s="37" t="s">
        <v>34</v>
      </c>
      <c r="S14" s="37" t="s">
        <v>35</v>
      </c>
      <c r="T14" s="37"/>
      <c r="U14" s="37" t="s">
        <v>34</v>
      </c>
      <c r="V14" s="37" t="s">
        <v>35</v>
      </c>
      <c r="W14" s="84" t="s">
        <v>35</v>
      </c>
      <c r="X14" s="36"/>
      <c r="Y14" s="139" t="s">
        <v>37</v>
      </c>
      <c r="Z14" s="37" t="s">
        <v>34</v>
      </c>
      <c r="AA14" s="37" t="s">
        <v>35</v>
      </c>
      <c r="AB14" s="139" t="s">
        <v>37</v>
      </c>
      <c r="AC14" s="140" t="s">
        <v>37</v>
      </c>
      <c r="AD14" s="36" t="s">
        <v>34</v>
      </c>
      <c r="AE14" s="37" t="s">
        <v>34</v>
      </c>
      <c r="AF14" s="121" t="s">
        <v>36</v>
      </c>
      <c r="AG14" s="121" t="s">
        <v>36</v>
      </c>
      <c r="AH14" s="122" t="s">
        <v>36</v>
      </c>
      <c r="AI14" s="109">
        <f t="shared" si="0"/>
        <v>3</v>
      </c>
      <c r="AJ14" s="2">
        <f t="shared" si="1"/>
        <v>7</v>
      </c>
      <c r="AK14" s="2">
        <f t="shared" si="2"/>
        <v>7</v>
      </c>
      <c r="AL14" s="113" cm="1">
        <f t="array" ref="AL14">SUM(COUNTIF(D14:AH14,{"NL","P","B"}))</f>
        <v>3</v>
      </c>
      <c r="AM14" s="114">
        <f t="shared" si="3"/>
        <v>216</v>
      </c>
    </row>
    <row r="15" spans="1:40">
      <c r="A15" s="175"/>
      <c r="B15" s="24" t="s">
        <v>42</v>
      </c>
      <c r="C15" s="74" t="s">
        <v>43</v>
      </c>
      <c r="D15" s="51" t="s">
        <v>34</v>
      </c>
      <c r="E15" s="37" t="s">
        <v>35</v>
      </c>
      <c r="F15" s="37"/>
      <c r="G15" s="37"/>
      <c r="H15" s="37" t="s">
        <v>34</v>
      </c>
      <c r="I15" s="37" t="s">
        <v>34</v>
      </c>
      <c r="J15" s="37" t="s">
        <v>35</v>
      </c>
      <c r="K15" s="37"/>
      <c r="L15" s="37" t="s">
        <v>35</v>
      </c>
      <c r="M15" s="72"/>
      <c r="N15" s="37" t="s">
        <v>34</v>
      </c>
      <c r="O15" s="37" t="s">
        <v>35</v>
      </c>
      <c r="P15" s="37"/>
      <c r="Q15" s="37" t="s">
        <v>35</v>
      </c>
      <c r="R15" s="37" t="s">
        <v>35</v>
      </c>
      <c r="S15" s="72"/>
      <c r="T15" s="37" t="s">
        <v>34</v>
      </c>
      <c r="U15" s="37" t="s">
        <v>35</v>
      </c>
      <c r="V15" s="37"/>
      <c r="W15" s="84"/>
      <c r="X15" s="36" t="s">
        <v>34</v>
      </c>
      <c r="Y15" s="37" t="s">
        <v>35</v>
      </c>
      <c r="Z15" s="139" t="s">
        <v>37</v>
      </c>
      <c r="AA15" s="37" t="s">
        <v>34</v>
      </c>
      <c r="AB15" s="141" t="s">
        <v>37</v>
      </c>
      <c r="AC15" s="142" t="s">
        <v>37</v>
      </c>
      <c r="AD15" s="106"/>
      <c r="AE15" s="29"/>
      <c r="AF15" s="29"/>
      <c r="AG15" s="29"/>
      <c r="AH15" s="84" t="s">
        <v>34</v>
      </c>
      <c r="AI15" s="109">
        <f>COUNTIF(D15:AH15,"HC")</f>
        <v>0</v>
      </c>
      <c r="AJ15" s="2">
        <f>COUNTIF(D15:AH15,"M")</f>
        <v>8</v>
      </c>
      <c r="AK15" s="2">
        <f>COUNTIF(D15:AH15,"E")</f>
        <v>8</v>
      </c>
      <c r="AL15" s="113" cm="1">
        <f t="array" ref="AL15">SUM(COUNTIF(D15:AH15,{"NL","P","B"}))</f>
        <v>3</v>
      </c>
      <c r="AM15" s="114">
        <f t="shared" si="3"/>
        <v>216</v>
      </c>
      <c r="AN15" s="30"/>
    </row>
    <row r="16" spans="1:40" ht="15.75" thickBot="1">
      <c r="A16" s="176"/>
      <c r="B16" s="25" t="s">
        <v>44</v>
      </c>
      <c r="C16" s="75" t="s">
        <v>45</v>
      </c>
      <c r="D16" s="64"/>
      <c r="E16" s="40" t="s">
        <v>34</v>
      </c>
      <c r="F16" s="40" t="s">
        <v>35</v>
      </c>
      <c r="G16" s="40"/>
      <c r="H16" s="40"/>
      <c r="I16" s="40"/>
      <c r="J16" s="40" t="s">
        <v>34</v>
      </c>
      <c r="K16" s="40" t="s">
        <v>35</v>
      </c>
      <c r="L16" s="40"/>
      <c r="M16" s="40" t="s">
        <v>34</v>
      </c>
      <c r="N16" s="40"/>
      <c r="O16" s="40" t="s">
        <v>34</v>
      </c>
      <c r="P16" s="40"/>
      <c r="Q16" s="40" t="s">
        <v>34</v>
      </c>
      <c r="R16" s="40" t="s">
        <v>36</v>
      </c>
      <c r="S16" s="40" t="s">
        <v>36</v>
      </c>
      <c r="T16" s="40"/>
      <c r="U16" s="40" t="s">
        <v>34</v>
      </c>
      <c r="V16" s="40" t="s">
        <v>35</v>
      </c>
      <c r="W16" s="85"/>
      <c r="X16" s="100"/>
      <c r="Y16" s="143" t="s">
        <v>37</v>
      </c>
      <c r="Z16" s="143" t="s">
        <v>37</v>
      </c>
      <c r="AA16" s="143" t="s">
        <v>37</v>
      </c>
      <c r="AB16" s="143" t="s">
        <v>37</v>
      </c>
      <c r="AC16" s="41" t="s">
        <v>34</v>
      </c>
      <c r="AD16" s="104" t="s">
        <v>35</v>
      </c>
      <c r="AE16" s="40" t="s">
        <v>35</v>
      </c>
      <c r="AF16" s="40"/>
      <c r="AG16" s="40" t="s">
        <v>34</v>
      </c>
      <c r="AH16" s="90" t="s">
        <v>35</v>
      </c>
      <c r="AI16" s="109">
        <f>COUNTIF(D16:AH16,"HC")</f>
        <v>2</v>
      </c>
      <c r="AJ16" s="2">
        <f>COUNTIF(D16:AH16,"M")</f>
        <v>8</v>
      </c>
      <c r="AK16" s="2">
        <f>COUNTIF(D16:AH16,"E")</f>
        <v>6</v>
      </c>
      <c r="AL16" s="113" cm="1">
        <f t="array" ref="AL16">SUM(COUNTIF(D16:AH16,{"NL","P","B"}))</f>
        <v>4</v>
      </c>
      <c r="AM16" s="114">
        <f t="shared" si="3"/>
        <v>216</v>
      </c>
    </row>
    <row r="17" spans="1:41">
      <c r="A17" s="168" t="s">
        <v>46</v>
      </c>
      <c r="B17" s="21" t="s">
        <v>47</v>
      </c>
      <c r="C17" s="70" t="s">
        <v>48</v>
      </c>
      <c r="D17" s="42"/>
      <c r="E17" s="43"/>
      <c r="F17" s="43" t="s">
        <v>34</v>
      </c>
      <c r="G17" s="43" t="s">
        <v>35</v>
      </c>
      <c r="H17" s="43" t="s">
        <v>35</v>
      </c>
      <c r="I17" s="43"/>
      <c r="J17" s="43" t="s">
        <v>34</v>
      </c>
      <c r="K17" s="43" t="s">
        <v>35</v>
      </c>
      <c r="L17" s="44"/>
      <c r="M17" s="44"/>
      <c r="N17" s="44" t="s">
        <v>34</v>
      </c>
      <c r="O17" s="44" t="s">
        <v>35</v>
      </c>
      <c r="P17" s="44"/>
      <c r="Q17" s="44"/>
      <c r="R17" s="44" t="s">
        <v>34</v>
      </c>
      <c r="S17" s="44" t="s">
        <v>35</v>
      </c>
      <c r="T17" s="44"/>
      <c r="U17" s="44"/>
      <c r="V17" s="44" t="s">
        <v>34</v>
      </c>
      <c r="W17" s="86" t="s">
        <v>35</v>
      </c>
      <c r="X17" s="101"/>
      <c r="Y17" s="144" t="s">
        <v>37</v>
      </c>
      <c r="Z17" s="44" t="s">
        <v>34</v>
      </c>
      <c r="AA17" s="144" t="s">
        <v>37</v>
      </c>
      <c r="AB17" s="44" t="s">
        <v>35</v>
      </c>
      <c r="AC17" s="45" t="s">
        <v>35</v>
      </c>
      <c r="AD17" s="93"/>
      <c r="AE17" s="44" t="s">
        <v>34</v>
      </c>
      <c r="AF17" s="44"/>
      <c r="AG17" s="44" t="s">
        <v>36</v>
      </c>
      <c r="AH17" s="86" t="s">
        <v>34</v>
      </c>
      <c r="AI17" s="109">
        <f t="shared" si="0"/>
        <v>1</v>
      </c>
      <c r="AJ17" s="2">
        <f t="shared" si="1"/>
        <v>8</v>
      </c>
      <c r="AK17" s="2">
        <f t="shared" si="2"/>
        <v>8</v>
      </c>
      <c r="AL17" s="113" cm="1">
        <f t="array" ref="AL17">SUM(COUNTIF(D17:AH17,{"NL","P","B"}))</f>
        <v>2</v>
      </c>
      <c r="AM17" s="114">
        <f t="shared" si="3"/>
        <v>216</v>
      </c>
    </row>
    <row r="18" spans="1:41">
      <c r="A18" s="169"/>
      <c r="B18" s="21" t="s">
        <v>49</v>
      </c>
      <c r="C18" s="70" t="s">
        <v>50</v>
      </c>
      <c r="D18" s="36" t="s">
        <v>35</v>
      </c>
      <c r="E18" s="37"/>
      <c r="F18" s="37"/>
      <c r="G18" s="37"/>
      <c r="H18" s="37" t="s">
        <v>34</v>
      </c>
      <c r="I18" s="37" t="s">
        <v>35</v>
      </c>
      <c r="J18" s="37"/>
      <c r="K18" s="37" t="s">
        <v>34</v>
      </c>
      <c r="L18" s="39" t="s">
        <v>35</v>
      </c>
      <c r="M18" s="39"/>
      <c r="N18" s="39"/>
      <c r="O18" s="39" t="s">
        <v>34</v>
      </c>
      <c r="P18" s="39" t="s">
        <v>35</v>
      </c>
      <c r="Q18" s="39"/>
      <c r="R18" s="39"/>
      <c r="S18" s="39" t="s">
        <v>34</v>
      </c>
      <c r="T18" s="39" t="s">
        <v>35</v>
      </c>
      <c r="U18" s="39"/>
      <c r="V18" s="39"/>
      <c r="W18" s="87" t="s">
        <v>34</v>
      </c>
      <c r="X18" s="102" t="s">
        <v>35</v>
      </c>
      <c r="Y18" s="139" t="s">
        <v>37</v>
      </c>
      <c r="Z18" s="139" t="s">
        <v>37</v>
      </c>
      <c r="AA18" s="39" t="s">
        <v>35</v>
      </c>
      <c r="AB18" s="139" t="s">
        <v>37</v>
      </c>
      <c r="AC18" s="46" t="s">
        <v>34</v>
      </c>
      <c r="AD18" s="94" t="s">
        <v>34</v>
      </c>
      <c r="AE18" s="31"/>
      <c r="AF18" s="31"/>
      <c r="AG18" s="39" t="s">
        <v>34</v>
      </c>
      <c r="AH18" s="87" t="s">
        <v>35</v>
      </c>
      <c r="AI18" s="109">
        <f t="shared" si="0"/>
        <v>0</v>
      </c>
      <c r="AJ18" s="2">
        <f t="shared" si="1"/>
        <v>8</v>
      </c>
      <c r="AK18" s="2">
        <f t="shared" si="2"/>
        <v>8</v>
      </c>
      <c r="AL18" s="113" cm="1">
        <f t="array" ref="AL18">SUM(COUNTIF(D18:AH18,{"NL","P","B"}))</f>
        <v>3</v>
      </c>
      <c r="AM18" s="114">
        <f t="shared" si="3"/>
        <v>216</v>
      </c>
      <c r="AN18" s="30"/>
    </row>
    <row r="19" spans="1:41">
      <c r="A19" s="169"/>
      <c r="B19" s="20" t="s">
        <v>51</v>
      </c>
      <c r="C19" s="19" t="s">
        <v>52</v>
      </c>
      <c r="D19" s="78"/>
      <c r="E19" s="37" t="s">
        <v>34</v>
      </c>
      <c r="F19" s="37" t="s">
        <v>35</v>
      </c>
      <c r="G19" s="37"/>
      <c r="H19" s="29"/>
      <c r="I19" s="37" t="s">
        <v>35</v>
      </c>
      <c r="J19" s="37"/>
      <c r="K19" s="37" t="s">
        <v>34</v>
      </c>
      <c r="L19" s="39" t="s">
        <v>34</v>
      </c>
      <c r="M19" s="39" t="s">
        <v>35</v>
      </c>
      <c r="N19" s="39"/>
      <c r="O19" s="39"/>
      <c r="P19" s="39" t="s">
        <v>34</v>
      </c>
      <c r="Q19" s="39" t="s">
        <v>35</v>
      </c>
      <c r="R19" s="39"/>
      <c r="S19" s="37"/>
      <c r="T19" s="49" t="s">
        <v>34</v>
      </c>
      <c r="U19" s="49" t="s">
        <v>35</v>
      </c>
      <c r="V19" s="39"/>
      <c r="W19" s="84"/>
      <c r="X19" s="36" t="s">
        <v>34</v>
      </c>
      <c r="Y19" s="39" t="s">
        <v>35</v>
      </c>
      <c r="Z19" s="139" t="s">
        <v>37</v>
      </c>
      <c r="AA19" s="37" t="s">
        <v>34</v>
      </c>
      <c r="AB19" s="139" t="s">
        <v>37</v>
      </c>
      <c r="AC19" s="140" t="s">
        <v>37</v>
      </c>
      <c r="AD19" s="94" t="s">
        <v>35</v>
      </c>
      <c r="AE19" s="37"/>
      <c r="AF19" s="37" t="s">
        <v>34</v>
      </c>
      <c r="AG19" s="39" t="s">
        <v>35</v>
      </c>
      <c r="AH19" s="87"/>
      <c r="AI19" s="109">
        <f t="shared" si="0"/>
        <v>0</v>
      </c>
      <c r="AJ19" s="2">
        <f t="shared" si="1"/>
        <v>8</v>
      </c>
      <c r="AK19" s="2">
        <f t="shared" si="2"/>
        <v>8</v>
      </c>
      <c r="AL19" s="113" cm="1">
        <f t="array" ref="AL19">SUM(COUNTIF(D19:AH19,{"NL","P","B"}))</f>
        <v>3</v>
      </c>
      <c r="AM19" s="114">
        <f t="shared" si="3"/>
        <v>216</v>
      </c>
      <c r="AN19" s="30"/>
    </row>
    <row r="20" spans="1:41" ht="15.75" thickBot="1">
      <c r="A20" s="170"/>
      <c r="B20" s="22" t="s">
        <v>53</v>
      </c>
      <c r="C20" s="71" t="s">
        <v>54</v>
      </c>
      <c r="D20" s="47" t="s">
        <v>34</v>
      </c>
      <c r="E20" s="48" t="s">
        <v>35</v>
      </c>
      <c r="F20" s="48"/>
      <c r="G20" s="48" t="s">
        <v>34</v>
      </c>
      <c r="H20" s="79"/>
      <c r="I20" s="48" t="s">
        <v>34</v>
      </c>
      <c r="J20" s="48" t="s">
        <v>35</v>
      </c>
      <c r="K20" s="49"/>
      <c r="L20" s="49"/>
      <c r="M20" s="49" t="s">
        <v>34</v>
      </c>
      <c r="N20" s="49" t="s">
        <v>35</v>
      </c>
      <c r="O20" s="49"/>
      <c r="P20" s="49"/>
      <c r="Q20" s="49" t="s">
        <v>34</v>
      </c>
      <c r="R20" s="49" t="s">
        <v>35</v>
      </c>
      <c r="S20" s="49"/>
      <c r="T20" s="49"/>
      <c r="U20" s="49" t="s">
        <v>34</v>
      </c>
      <c r="V20" s="49" t="s">
        <v>35</v>
      </c>
      <c r="W20" s="88"/>
      <c r="X20" s="103"/>
      <c r="Y20" s="49" t="s">
        <v>34</v>
      </c>
      <c r="Z20" s="49" t="s">
        <v>35</v>
      </c>
      <c r="AA20" s="145" t="s">
        <v>37</v>
      </c>
      <c r="AB20" s="49" t="s">
        <v>34</v>
      </c>
      <c r="AC20" s="50" t="s">
        <v>37</v>
      </c>
      <c r="AD20" s="146" t="s">
        <v>36</v>
      </c>
      <c r="AE20" s="49" t="s">
        <v>35</v>
      </c>
      <c r="AF20" s="49" t="s">
        <v>35</v>
      </c>
      <c r="AG20" s="49"/>
      <c r="AH20" s="88"/>
      <c r="AI20" s="110">
        <f t="shared" si="0"/>
        <v>1</v>
      </c>
      <c r="AJ20" s="15">
        <f t="shared" si="1"/>
        <v>8</v>
      </c>
      <c r="AK20" s="15">
        <f t="shared" si="2"/>
        <v>8</v>
      </c>
      <c r="AL20" s="115" cm="1">
        <f t="array" ref="AL20">SUM(COUNTIF(D20:AH20,{"NL","P","B"}))</f>
        <v>2</v>
      </c>
      <c r="AM20" s="116">
        <f t="shared" si="3"/>
        <v>216</v>
      </c>
      <c r="AN20" s="30"/>
    </row>
    <row r="21" spans="1:41">
      <c r="A21" s="171" t="s">
        <v>55</v>
      </c>
      <c r="B21" s="105" t="s">
        <v>56</v>
      </c>
      <c r="C21" s="16" t="s">
        <v>57</v>
      </c>
      <c r="D21" s="32" t="s">
        <v>35</v>
      </c>
      <c r="E21" s="80"/>
      <c r="F21" s="33"/>
      <c r="G21" s="33" t="s">
        <v>34</v>
      </c>
      <c r="H21" s="33" t="s">
        <v>34</v>
      </c>
      <c r="I21" s="33" t="s">
        <v>35</v>
      </c>
      <c r="J21" s="33"/>
      <c r="K21" s="33"/>
      <c r="L21" s="33" t="s">
        <v>35</v>
      </c>
      <c r="M21" s="33"/>
      <c r="N21" s="33" t="s">
        <v>35</v>
      </c>
      <c r="O21" s="33" t="s">
        <v>35</v>
      </c>
      <c r="P21" s="33"/>
      <c r="Q21" s="33" t="s">
        <v>34</v>
      </c>
      <c r="R21" s="33" t="s">
        <v>35</v>
      </c>
      <c r="S21" s="33"/>
      <c r="T21" s="33"/>
      <c r="U21" s="33" t="s">
        <v>34</v>
      </c>
      <c r="V21" s="33" t="s">
        <v>35</v>
      </c>
      <c r="W21" s="83"/>
      <c r="X21" s="32" t="s">
        <v>34</v>
      </c>
      <c r="Y21" s="137" t="s">
        <v>37</v>
      </c>
      <c r="Z21" s="33" t="s">
        <v>35</v>
      </c>
      <c r="AA21" s="137" t="s">
        <v>37</v>
      </c>
      <c r="AB21" s="33" t="s">
        <v>35</v>
      </c>
      <c r="AC21" s="138" t="s">
        <v>37</v>
      </c>
      <c r="AD21" s="63"/>
      <c r="AE21" s="33"/>
      <c r="AF21" s="33" t="s">
        <v>34</v>
      </c>
      <c r="AG21" s="33"/>
      <c r="AH21" s="83" t="s">
        <v>34</v>
      </c>
      <c r="AI21" s="126">
        <f t="shared" si="0"/>
        <v>0</v>
      </c>
      <c r="AJ21" s="17">
        <f t="shared" si="1"/>
        <v>7</v>
      </c>
      <c r="AK21" s="17">
        <f t="shared" si="2"/>
        <v>9</v>
      </c>
      <c r="AL21" s="111" cm="1">
        <f t="array" ref="AL21">SUM(COUNTIF(D21:AH21,{"NL","P","B"}))</f>
        <v>3</v>
      </c>
      <c r="AM21" s="112">
        <f t="shared" si="3"/>
        <v>216</v>
      </c>
      <c r="AN21" s="30"/>
    </row>
    <row r="22" spans="1:41">
      <c r="A22" s="172"/>
      <c r="B22" s="20" t="s">
        <v>58</v>
      </c>
      <c r="C22" s="19" t="s">
        <v>59</v>
      </c>
      <c r="D22" s="106"/>
      <c r="E22" s="37" t="s">
        <v>34</v>
      </c>
      <c r="F22" s="37" t="s">
        <v>34</v>
      </c>
      <c r="G22" s="29"/>
      <c r="H22" s="37" t="s">
        <v>35</v>
      </c>
      <c r="I22" s="37"/>
      <c r="J22" s="37" t="s">
        <v>35</v>
      </c>
      <c r="K22" s="37"/>
      <c r="L22" s="37" t="s">
        <v>34</v>
      </c>
      <c r="M22" s="37" t="s">
        <v>35</v>
      </c>
      <c r="N22" s="37"/>
      <c r="O22" s="37" t="s">
        <v>34</v>
      </c>
      <c r="P22" s="37"/>
      <c r="Q22" s="37"/>
      <c r="R22" s="37" t="s">
        <v>34</v>
      </c>
      <c r="S22" s="37" t="s">
        <v>35</v>
      </c>
      <c r="T22" s="37"/>
      <c r="U22" s="37" t="s">
        <v>36</v>
      </c>
      <c r="V22" s="37" t="s">
        <v>34</v>
      </c>
      <c r="W22" s="84" t="s">
        <v>35</v>
      </c>
      <c r="X22" s="36"/>
      <c r="Y22" s="37" t="s">
        <v>34</v>
      </c>
      <c r="Z22" s="37" t="s">
        <v>34</v>
      </c>
      <c r="AA22" s="139" t="s">
        <v>37</v>
      </c>
      <c r="AB22" s="139" t="s">
        <v>37</v>
      </c>
      <c r="AC22" s="38" t="s">
        <v>35</v>
      </c>
      <c r="AD22" s="51"/>
      <c r="AE22" s="37" t="s">
        <v>35</v>
      </c>
      <c r="AF22" s="37" t="s">
        <v>35</v>
      </c>
      <c r="AG22" s="37"/>
      <c r="AH22" s="84"/>
      <c r="AI22" s="109">
        <f t="shared" si="0"/>
        <v>1</v>
      </c>
      <c r="AJ22" s="2">
        <f t="shared" si="1"/>
        <v>8</v>
      </c>
      <c r="AK22" s="2">
        <f t="shared" si="2"/>
        <v>8</v>
      </c>
      <c r="AL22" s="113" cm="1">
        <f t="array" ref="AL22">SUM(COUNTIF(D22:AH22,{"NL","P","B"}))</f>
        <v>2</v>
      </c>
      <c r="AM22" s="114">
        <f t="shared" si="3"/>
        <v>216</v>
      </c>
    </row>
    <row r="23" spans="1:41">
      <c r="A23" s="172"/>
      <c r="B23" s="20" t="s">
        <v>60</v>
      </c>
      <c r="C23" s="19" t="s">
        <v>61</v>
      </c>
      <c r="D23" s="36" t="s">
        <v>34</v>
      </c>
      <c r="E23" s="29"/>
      <c r="F23" s="37" t="s">
        <v>35</v>
      </c>
      <c r="G23" s="37"/>
      <c r="H23" s="29"/>
      <c r="I23" s="37"/>
      <c r="J23" s="29"/>
      <c r="K23" s="37" t="s">
        <v>34</v>
      </c>
      <c r="L23" s="29"/>
      <c r="M23" s="37"/>
      <c r="N23" s="37" t="s">
        <v>34</v>
      </c>
      <c r="O23" s="29"/>
      <c r="P23" s="37" t="s">
        <v>35</v>
      </c>
      <c r="Q23" s="37"/>
      <c r="R23" s="37" t="s">
        <v>34</v>
      </c>
      <c r="S23" s="37" t="s">
        <v>34</v>
      </c>
      <c r="T23" s="37" t="s">
        <v>35</v>
      </c>
      <c r="U23" s="37" t="s">
        <v>35</v>
      </c>
      <c r="V23" s="37"/>
      <c r="W23" s="84" t="s">
        <v>34</v>
      </c>
      <c r="X23" s="36"/>
      <c r="Y23" s="37" t="s">
        <v>35</v>
      </c>
      <c r="Z23" s="139" t="s">
        <v>37</v>
      </c>
      <c r="AA23" s="37" t="s">
        <v>34</v>
      </c>
      <c r="AB23" s="37" t="s">
        <v>34</v>
      </c>
      <c r="AC23" s="140" t="s">
        <v>37</v>
      </c>
      <c r="AD23" s="51" t="s">
        <v>35</v>
      </c>
      <c r="AE23" s="37"/>
      <c r="AF23" s="37" t="s">
        <v>36</v>
      </c>
      <c r="AG23" s="37" t="s">
        <v>34</v>
      </c>
      <c r="AH23" s="84" t="s">
        <v>35</v>
      </c>
      <c r="AI23" s="109">
        <f t="shared" si="0"/>
        <v>1</v>
      </c>
      <c r="AJ23" s="2">
        <f t="shared" si="1"/>
        <v>9</v>
      </c>
      <c r="AK23" s="2">
        <f t="shared" si="2"/>
        <v>7</v>
      </c>
      <c r="AL23" s="113" cm="1">
        <f t="array" ref="AL23">SUM(COUNTIF(D23:AH23,{"NL","P","B"}))</f>
        <v>2</v>
      </c>
      <c r="AM23" s="114">
        <f t="shared" si="3"/>
        <v>216</v>
      </c>
    </row>
    <row r="24" spans="1:41" ht="15.75" thickBot="1">
      <c r="A24" s="173"/>
      <c r="B24" s="22" t="s">
        <v>62</v>
      </c>
      <c r="C24" s="59" t="s">
        <v>63</v>
      </c>
      <c r="D24" s="47"/>
      <c r="E24" s="48" t="s">
        <v>35</v>
      </c>
      <c r="F24" s="48"/>
      <c r="G24" s="48" t="s">
        <v>35</v>
      </c>
      <c r="H24" s="48"/>
      <c r="I24" s="48" t="s">
        <v>34</v>
      </c>
      <c r="J24" s="48" t="s">
        <v>34</v>
      </c>
      <c r="K24" s="48" t="s">
        <v>35</v>
      </c>
      <c r="L24" s="48"/>
      <c r="M24" s="48" t="s">
        <v>34</v>
      </c>
      <c r="N24" s="48"/>
      <c r="O24" s="48"/>
      <c r="P24" s="48" t="s">
        <v>34</v>
      </c>
      <c r="Q24" s="48" t="s">
        <v>35</v>
      </c>
      <c r="R24" s="48"/>
      <c r="S24" s="48"/>
      <c r="T24" s="48" t="s">
        <v>34</v>
      </c>
      <c r="U24" s="48" t="s">
        <v>35</v>
      </c>
      <c r="V24" s="48"/>
      <c r="W24" s="89"/>
      <c r="X24" s="47" t="s">
        <v>35</v>
      </c>
      <c r="Y24" s="145" t="s">
        <v>37</v>
      </c>
      <c r="Z24" s="145" t="s">
        <v>37</v>
      </c>
      <c r="AA24" s="48" t="s">
        <v>35</v>
      </c>
      <c r="AB24" s="145" t="s">
        <v>37</v>
      </c>
      <c r="AC24" s="52" t="s">
        <v>34</v>
      </c>
      <c r="AD24" s="95" t="s">
        <v>34</v>
      </c>
      <c r="AE24" s="48" t="s">
        <v>34</v>
      </c>
      <c r="AF24" s="48"/>
      <c r="AG24" s="48" t="s">
        <v>35</v>
      </c>
      <c r="AH24" s="89"/>
      <c r="AI24" s="123">
        <f t="shared" si="0"/>
        <v>0</v>
      </c>
      <c r="AJ24" s="60">
        <f t="shared" si="1"/>
        <v>8</v>
      </c>
      <c r="AK24" s="60">
        <f t="shared" si="2"/>
        <v>8</v>
      </c>
      <c r="AL24" s="124" cm="1">
        <f t="array" ref="AL24">SUM(COUNTIF(D24:AH24,{"NL","P","B"}))</f>
        <v>3</v>
      </c>
      <c r="AM24" s="125">
        <f t="shared" si="3"/>
        <v>216</v>
      </c>
      <c r="AN24" s="30"/>
    </row>
    <row r="25" spans="1:41">
      <c r="A25" s="174" t="s">
        <v>64</v>
      </c>
      <c r="B25" s="61" t="s">
        <v>65</v>
      </c>
      <c r="C25" s="65" t="s">
        <v>66</v>
      </c>
      <c r="D25" s="63" t="s">
        <v>36</v>
      </c>
      <c r="E25" s="33" t="s">
        <v>36</v>
      </c>
      <c r="F25" s="33" t="s">
        <v>36</v>
      </c>
      <c r="G25" s="33" t="s">
        <v>36</v>
      </c>
      <c r="H25" s="33" t="s">
        <v>36</v>
      </c>
      <c r="I25" s="33" t="s">
        <v>36</v>
      </c>
      <c r="J25" s="33"/>
      <c r="K25" s="33" t="s">
        <v>36</v>
      </c>
      <c r="L25" s="33" t="s">
        <v>36</v>
      </c>
      <c r="M25" s="33" t="s">
        <v>36</v>
      </c>
      <c r="N25" s="33" t="s">
        <v>36</v>
      </c>
      <c r="O25" s="33" t="s">
        <v>36</v>
      </c>
      <c r="P25" s="33" t="s">
        <v>36</v>
      </c>
      <c r="Q25" s="33"/>
      <c r="R25" s="33" t="s">
        <v>36</v>
      </c>
      <c r="S25" s="33" t="s">
        <v>36</v>
      </c>
      <c r="T25" s="33" t="s">
        <v>36</v>
      </c>
      <c r="U25" s="33" t="s">
        <v>36</v>
      </c>
      <c r="V25" s="33" t="s">
        <v>36</v>
      </c>
      <c r="W25" s="83" t="s">
        <v>36</v>
      </c>
      <c r="X25" s="32"/>
      <c r="Y25" s="33" t="s">
        <v>37</v>
      </c>
      <c r="Z25" s="33" t="s">
        <v>37</v>
      </c>
      <c r="AA25" s="33" t="s">
        <v>37</v>
      </c>
      <c r="AB25" s="33" t="s">
        <v>37</v>
      </c>
      <c r="AC25" s="35" t="s">
        <v>37</v>
      </c>
      <c r="AD25" s="63" t="s">
        <v>36</v>
      </c>
      <c r="AE25" s="33"/>
      <c r="AF25" s="33" t="s">
        <v>36</v>
      </c>
      <c r="AG25" s="33" t="s">
        <v>36</v>
      </c>
      <c r="AH25" s="83" t="s">
        <v>36</v>
      </c>
      <c r="AI25" s="126">
        <f t="shared" ref="AI25" si="4">COUNTIF(D25:AH25,"HC")</f>
        <v>22</v>
      </c>
      <c r="AJ25" s="17">
        <f t="shared" ref="AJ25" si="5">COUNTIF(D25:AH25,"M")</f>
        <v>0</v>
      </c>
      <c r="AK25" s="17">
        <f t="shared" ref="AK25" si="6">COUNTIF(D25:AH25,"E")</f>
        <v>0</v>
      </c>
      <c r="AL25" s="111" cm="1">
        <f t="array" ref="AL25">SUM(COUNTIF(D25:AH25,{"NL","P","B"}))</f>
        <v>5</v>
      </c>
      <c r="AM25" s="112">
        <f t="shared" si="3"/>
        <v>216</v>
      </c>
    </row>
    <row r="26" spans="1:41" ht="15.75" thickBot="1">
      <c r="A26" s="177"/>
      <c r="B26" s="62" t="s">
        <v>67</v>
      </c>
      <c r="C26" s="66" t="s">
        <v>68</v>
      </c>
      <c r="D26" s="64" t="s">
        <v>36</v>
      </c>
      <c r="E26" s="40" t="s">
        <v>36</v>
      </c>
      <c r="F26" s="40" t="s">
        <v>36</v>
      </c>
      <c r="G26" s="40" t="s">
        <v>36</v>
      </c>
      <c r="H26" s="40" t="s">
        <v>36</v>
      </c>
      <c r="I26" s="40" t="s">
        <v>36</v>
      </c>
      <c r="J26" s="40"/>
      <c r="K26" s="40" t="s">
        <v>36</v>
      </c>
      <c r="L26" s="40" t="s">
        <v>36</v>
      </c>
      <c r="M26" s="40" t="s">
        <v>36</v>
      </c>
      <c r="N26" s="40" t="s">
        <v>36</v>
      </c>
      <c r="O26" s="40" t="s">
        <v>36</v>
      </c>
      <c r="P26" s="40" t="s">
        <v>36</v>
      </c>
      <c r="Q26" s="40"/>
      <c r="R26" s="40" t="s">
        <v>36</v>
      </c>
      <c r="S26" s="40" t="s">
        <v>36</v>
      </c>
      <c r="T26" s="40" t="s">
        <v>36</v>
      </c>
      <c r="U26" s="40" t="s">
        <v>36</v>
      </c>
      <c r="V26" s="40" t="s">
        <v>36</v>
      </c>
      <c r="W26" s="90" t="s">
        <v>36</v>
      </c>
      <c r="X26" s="104"/>
      <c r="Y26" s="40" t="s">
        <v>37</v>
      </c>
      <c r="Z26" s="40" t="s">
        <v>37</v>
      </c>
      <c r="AA26" s="40" t="s">
        <v>37</v>
      </c>
      <c r="AB26" s="40" t="s">
        <v>37</v>
      </c>
      <c r="AC26" s="41" t="s">
        <v>37</v>
      </c>
      <c r="AD26" s="64" t="s">
        <v>36</v>
      </c>
      <c r="AE26" s="40"/>
      <c r="AF26" s="40" t="s">
        <v>36</v>
      </c>
      <c r="AG26" s="40" t="s">
        <v>36</v>
      </c>
      <c r="AH26" s="90" t="s">
        <v>36</v>
      </c>
      <c r="AI26" s="110">
        <f t="shared" si="0"/>
        <v>22</v>
      </c>
      <c r="AJ26" s="15">
        <f t="shared" si="1"/>
        <v>0</v>
      </c>
      <c r="AK26" s="15">
        <f t="shared" si="2"/>
        <v>0</v>
      </c>
      <c r="AL26" s="115" cm="1">
        <f t="array" ref="AL26">SUM(COUNTIF(D26:AH26,{"NL","P","B"}))</f>
        <v>5</v>
      </c>
      <c r="AM26" s="116">
        <f t="shared" si="3"/>
        <v>216</v>
      </c>
    </row>
    <row r="27" spans="1:41">
      <c r="C27" s="14" t="s">
        <v>36</v>
      </c>
      <c r="D27">
        <f t="shared" ref="D27:AH27" si="7">COUNTIF(D12:D24,"HC")</f>
        <v>0</v>
      </c>
      <c r="E27">
        <f t="shared" si="7"/>
        <v>0</v>
      </c>
      <c r="F27">
        <f t="shared" si="7"/>
        <v>0</v>
      </c>
      <c r="G27">
        <f t="shared" si="7"/>
        <v>0</v>
      </c>
      <c r="H27">
        <f t="shared" si="7"/>
        <v>0</v>
      </c>
      <c r="I27">
        <f t="shared" si="7"/>
        <v>0</v>
      </c>
      <c r="J27">
        <f t="shared" si="7"/>
        <v>0</v>
      </c>
      <c r="K27">
        <f t="shared" si="7"/>
        <v>0</v>
      </c>
      <c r="L27">
        <f t="shared" si="7"/>
        <v>0</v>
      </c>
      <c r="M27">
        <f t="shared" si="7"/>
        <v>0</v>
      </c>
      <c r="N27">
        <f t="shared" si="7"/>
        <v>1</v>
      </c>
      <c r="O27">
        <f t="shared" si="7"/>
        <v>0</v>
      </c>
      <c r="P27">
        <f t="shared" si="7"/>
        <v>0</v>
      </c>
      <c r="Q27">
        <f t="shared" si="7"/>
        <v>0</v>
      </c>
      <c r="R27">
        <f t="shared" si="7"/>
        <v>1</v>
      </c>
      <c r="S27">
        <f t="shared" si="7"/>
        <v>1</v>
      </c>
      <c r="T27">
        <f t="shared" si="7"/>
        <v>0</v>
      </c>
      <c r="U27">
        <f t="shared" si="7"/>
        <v>1</v>
      </c>
      <c r="V27">
        <f t="shared" si="7"/>
        <v>0</v>
      </c>
      <c r="W27">
        <f t="shared" si="7"/>
        <v>0</v>
      </c>
      <c r="X27">
        <f t="shared" si="7"/>
        <v>0</v>
      </c>
      <c r="Y27">
        <f t="shared" si="7"/>
        <v>0</v>
      </c>
      <c r="Z27">
        <f t="shared" si="7"/>
        <v>0</v>
      </c>
      <c r="AA27">
        <f t="shared" si="7"/>
        <v>0</v>
      </c>
      <c r="AB27">
        <f t="shared" si="7"/>
        <v>0</v>
      </c>
      <c r="AC27">
        <f t="shared" si="7"/>
        <v>0</v>
      </c>
      <c r="AD27">
        <f t="shared" si="7"/>
        <v>1</v>
      </c>
      <c r="AE27">
        <f t="shared" si="7"/>
        <v>0</v>
      </c>
      <c r="AF27">
        <f t="shared" si="7"/>
        <v>2</v>
      </c>
      <c r="AG27">
        <f t="shared" si="7"/>
        <v>2</v>
      </c>
      <c r="AH27">
        <f t="shared" si="7"/>
        <v>1</v>
      </c>
    </row>
    <row r="28" spans="1:41">
      <c r="C28" s="14" t="s">
        <v>34</v>
      </c>
      <c r="D28">
        <f t="shared" ref="D28:AH28" si="8">COUNTIF(D12:D24,"M")</f>
        <v>3</v>
      </c>
      <c r="E28">
        <f t="shared" si="8"/>
        <v>3</v>
      </c>
      <c r="F28">
        <f t="shared" si="8"/>
        <v>3</v>
      </c>
      <c r="G28">
        <f t="shared" si="8"/>
        <v>3</v>
      </c>
      <c r="H28">
        <f t="shared" si="8"/>
        <v>4</v>
      </c>
      <c r="I28">
        <f t="shared" si="8"/>
        <v>3</v>
      </c>
      <c r="J28">
        <f t="shared" si="8"/>
        <v>3</v>
      </c>
      <c r="K28">
        <f t="shared" si="8"/>
        <v>4</v>
      </c>
      <c r="L28">
        <f t="shared" si="8"/>
        <v>3</v>
      </c>
      <c r="M28">
        <f t="shared" si="8"/>
        <v>4</v>
      </c>
      <c r="N28">
        <f t="shared" si="8"/>
        <v>3</v>
      </c>
      <c r="O28">
        <f t="shared" si="8"/>
        <v>4</v>
      </c>
      <c r="P28">
        <f t="shared" si="8"/>
        <v>3</v>
      </c>
      <c r="Q28">
        <f t="shared" si="8"/>
        <v>3</v>
      </c>
      <c r="R28">
        <f t="shared" si="8"/>
        <v>4</v>
      </c>
      <c r="S28">
        <f t="shared" si="8"/>
        <v>3</v>
      </c>
      <c r="T28">
        <f t="shared" si="8"/>
        <v>4</v>
      </c>
      <c r="U28">
        <f t="shared" si="8"/>
        <v>4</v>
      </c>
      <c r="V28">
        <f t="shared" si="8"/>
        <v>4</v>
      </c>
      <c r="W28">
        <f t="shared" si="8"/>
        <v>3</v>
      </c>
      <c r="X28">
        <f t="shared" si="8"/>
        <v>3</v>
      </c>
      <c r="Y28">
        <f t="shared" si="8"/>
        <v>3</v>
      </c>
      <c r="Z28">
        <f t="shared" si="8"/>
        <v>3</v>
      </c>
      <c r="AA28">
        <f t="shared" si="8"/>
        <v>3</v>
      </c>
      <c r="AB28">
        <f t="shared" si="8"/>
        <v>3</v>
      </c>
      <c r="AC28">
        <f t="shared" si="8"/>
        <v>3</v>
      </c>
      <c r="AD28">
        <f t="shared" si="8"/>
        <v>3</v>
      </c>
      <c r="AE28">
        <f t="shared" si="8"/>
        <v>4</v>
      </c>
      <c r="AF28">
        <f t="shared" si="8"/>
        <v>3</v>
      </c>
      <c r="AG28">
        <f t="shared" si="8"/>
        <v>3</v>
      </c>
      <c r="AH28">
        <f t="shared" si="8"/>
        <v>3</v>
      </c>
    </row>
    <row r="29" spans="1:41">
      <c r="C29" s="14" t="s">
        <v>35</v>
      </c>
      <c r="D29">
        <f>COUNTIF(D12:D24,"E")</f>
        <v>3</v>
      </c>
      <c r="E29">
        <f>COUNTIF(E12:E24,"E")</f>
        <v>3</v>
      </c>
      <c r="F29">
        <f>COUNTIF(F12:F24,"E")</f>
        <v>3</v>
      </c>
      <c r="G29">
        <f>COUNTIF(G12:G24,"E")</f>
        <v>3</v>
      </c>
      <c r="H29">
        <f>COUNTIF(H12:H24,"E")</f>
        <v>3</v>
      </c>
      <c r="I29">
        <f t="shared" ref="I29:J29" si="9">COUNTIF(I12:I24,"E")</f>
        <v>4</v>
      </c>
      <c r="J29">
        <f t="shared" si="9"/>
        <v>3</v>
      </c>
      <c r="K29">
        <f t="shared" ref="K29:AH29" si="10">COUNTIF(K12:K24,"E")</f>
        <v>4</v>
      </c>
      <c r="L29">
        <f t="shared" si="10"/>
        <v>4</v>
      </c>
      <c r="M29">
        <f t="shared" si="10"/>
        <v>3</v>
      </c>
      <c r="N29">
        <f t="shared" si="10"/>
        <v>3</v>
      </c>
      <c r="O29">
        <f t="shared" si="10"/>
        <v>3</v>
      </c>
      <c r="P29">
        <f t="shared" si="10"/>
        <v>3</v>
      </c>
      <c r="Q29">
        <f t="shared" si="10"/>
        <v>4</v>
      </c>
      <c r="R29">
        <f t="shared" si="10"/>
        <v>4</v>
      </c>
      <c r="S29">
        <f t="shared" si="10"/>
        <v>3</v>
      </c>
      <c r="T29">
        <f t="shared" si="10"/>
        <v>3</v>
      </c>
      <c r="U29">
        <f t="shared" si="10"/>
        <v>4</v>
      </c>
      <c r="V29">
        <f t="shared" si="10"/>
        <v>4</v>
      </c>
      <c r="W29">
        <f t="shared" si="10"/>
        <v>3</v>
      </c>
      <c r="X29">
        <f t="shared" si="10"/>
        <v>3</v>
      </c>
      <c r="Y29">
        <f t="shared" si="10"/>
        <v>3</v>
      </c>
      <c r="Z29">
        <f t="shared" si="10"/>
        <v>3</v>
      </c>
      <c r="AA29">
        <f t="shared" si="10"/>
        <v>3</v>
      </c>
      <c r="AB29">
        <f t="shared" si="10"/>
        <v>3</v>
      </c>
      <c r="AC29">
        <f t="shared" si="10"/>
        <v>3</v>
      </c>
      <c r="AD29">
        <f t="shared" si="10"/>
        <v>3</v>
      </c>
      <c r="AE29">
        <f t="shared" si="10"/>
        <v>3</v>
      </c>
      <c r="AF29">
        <f t="shared" si="10"/>
        <v>3</v>
      </c>
      <c r="AG29">
        <f t="shared" si="10"/>
        <v>4</v>
      </c>
      <c r="AH29">
        <f t="shared" si="10"/>
        <v>4</v>
      </c>
    </row>
    <row r="30" spans="1:41">
      <c r="C30" s="27"/>
      <c r="AN30" s="76"/>
      <c r="AO30" s="77"/>
    </row>
    <row r="31" spans="1:41" ht="15.75" thickBot="1">
      <c r="A31" s="4" t="s">
        <v>69</v>
      </c>
      <c r="C31" s="27"/>
    </row>
    <row r="32" spans="1:41" ht="14.1" customHeight="1">
      <c r="A32" s="127" t="s">
        <v>70</v>
      </c>
      <c r="B32" s="128" t="s">
        <v>71</v>
      </c>
      <c r="C32" s="129" t="s">
        <v>72</v>
      </c>
    </row>
    <row r="33" spans="1:35">
      <c r="A33" s="130" t="s">
        <v>73</v>
      </c>
      <c r="B33" s="108" t="s">
        <v>74</v>
      </c>
      <c r="C33" s="131" t="s">
        <v>75</v>
      </c>
    </row>
    <row r="34" spans="1:35" ht="15.75" thickBot="1">
      <c r="A34" s="132" t="s">
        <v>76</v>
      </c>
      <c r="B34" s="133" t="s">
        <v>77</v>
      </c>
      <c r="C34" s="134" t="s">
        <v>78</v>
      </c>
    </row>
    <row r="35" spans="1:35">
      <c r="A35" s="26"/>
      <c r="B35" s="1"/>
    </row>
    <row r="36" spans="1:35">
      <c r="A36" s="67"/>
      <c r="B36" s="1" t="s">
        <v>79</v>
      </c>
      <c r="AA36" s="147" t="s">
        <v>80</v>
      </c>
      <c r="AB36" s="147"/>
      <c r="AC36" s="147"/>
      <c r="AD36" s="147"/>
      <c r="AE36" s="147"/>
      <c r="AF36" s="147"/>
      <c r="AG36" s="147"/>
      <c r="AH36" s="147"/>
      <c r="AI36" s="147"/>
    </row>
    <row r="37" spans="1:35">
      <c r="A37" s="120"/>
      <c r="B37" s="1" t="s">
        <v>81</v>
      </c>
      <c r="AA37" s="28"/>
      <c r="AB37" s="28"/>
      <c r="AC37" s="28"/>
      <c r="AD37" s="28"/>
      <c r="AE37" s="28"/>
      <c r="AF37" s="28"/>
      <c r="AG37" s="28"/>
      <c r="AH37" s="28"/>
      <c r="AI37" s="28"/>
    </row>
    <row r="38" spans="1:35">
      <c r="A38" s="26"/>
      <c r="B38" s="1"/>
      <c r="AA38" s="28"/>
      <c r="AB38" s="28"/>
      <c r="AC38" s="28"/>
      <c r="AD38" s="28"/>
      <c r="AE38" s="28"/>
      <c r="AF38" s="28"/>
      <c r="AG38" s="28"/>
      <c r="AH38" s="28"/>
      <c r="AI38" s="28"/>
    </row>
    <row r="39" spans="1:35">
      <c r="B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>
      <c r="A40" s="1"/>
      <c r="B40" s="1"/>
      <c r="S40" s="3"/>
      <c r="T40" s="179" t="s">
        <v>82</v>
      </c>
      <c r="U40" s="179"/>
      <c r="V40" s="179"/>
      <c r="W40" s="179"/>
      <c r="X40" s="3"/>
      <c r="AA40" s="1"/>
      <c r="AB40" s="1"/>
      <c r="AC40" s="1"/>
      <c r="AD40" s="179" t="s">
        <v>83</v>
      </c>
      <c r="AE40" s="179"/>
      <c r="AF40" s="179"/>
      <c r="AG40" s="179"/>
      <c r="AH40" s="1"/>
      <c r="AI40" s="1"/>
    </row>
    <row r="41" spans="1:35">
      <c r="S41" s="179" t="s">
        <v>84</v>
      </c>
      <c r="T41" s="179"/>
      <c r="U41" s="179"/>
      <c r="V41" s="179"/>
      <c r="W41" s="179"/>
      <c r="X41" s="179"/>
      <c r="AA41" s="1"/>
      <c r="AB41" s="1"/>
      <c r="AC41" s="1"/>
      <c r="AD41" s="1"/>
      <c r="AE41" s="1"/>
      <c r="AF41" s="1"/>
      <c r="AG41" s="1"/>
      <c r="AH41" s="1"/>
      <c r="AI41" s="1"/>
    </row>
    <row r="42" spans="1:35">
      <c r="S42" s="180"/>
      <c r="T42" s="180"/>
      <c r="U42" s="180"/>
      <c r="V42" s="180"/>
      <c r="W42" s="180"/>
      <c r="X42" s="180"/>
      <c r="Y42" s="180"/>
      <c r="AA42" s="1"/>
      <c r="AB42" s="1"/>
      <c r="AC42" s="179" t="s">
        <v>85</v>
      </c>
      <c r="AD42" s="179"/>
      <c r="AE42" s="179"/>
      <c r="AF42" s="179"/>
      <c r="AG42" s="179"/>
      <c r="AH42" s="179"/>
      <c r="AI42" s="1"/>
    </row>
    <row r="43" spans="1:35">
      <c r="S43" s="180"/>
      <c r="T43" s="180"/>
      <c r="U43" s="180"/>
      <c r="V43" s="180"/>
      <c r="W43" s="180"/>
      <c r="X43" s="180"/>
      <c r="Y43" s="180"/>
      <c r="AA43" s="1"/>
      <c r="AB43" s="1"/>
      <c r="AC43" s="179"/>
      <c r="AD43" s="179"/>
      <c r="AE43" s="179"/>
      <c r="AF43" s="179"/>
      <c r="AG43" s="179"/>
      <c r="AH43" s="179"/>
      <c r="AI43" s="1"/>
    </row>
    <row r="44" spans="1:35">
      <c r="S44" s="180"/>
      <c r="T44" s="180"/>
      <c r="U44" s="180"/>
      <c r="V44" s="180"/>
      <c r="W44" s="180"/>
      <c r="X44" s="180"/>
      <c r="Y44" s="180"/>
      <c r="AA44" s="1"/>
      <c r="AB44" s="1"/>
      <c r="AC44" s="179"/>
      <c r="AD44" s="179"/>
      <c r="AE44" s="179"/>
      <c r="AF44" s="179"/>
      <c r="AG44" s="179"/>
      <c r="AH44" s="179"/>
      <c r="AI44" s="1"/>
    </row>
    <row r="45" spans="1:35">
      <c r="S45" s="180"/>
      <c r="T45" s="180"/>
      <c r="U45" s="180"/>
      <c r="V45" s="180"/>
      <c r="W45" s="180"/>
      <c r="X45" s="180"/>
      <c r="Y45" s="180"/>
      <c r="AA45" s="1"/>
      <c r="AB45" s="1"/>
      <c r="AC45" s="179"/>
      <c r="AD45" s="179"/>
      <c r="AE45" s="179"/>
      <c r="AF45" s="179"/>
      <c r="AG45" s="179"/>
      <c r="AH45" s="179"/>
      <c r="AI45" s="1"/>
    </row>
    <row r="46" spans="1:35">
      <c r="S46" s="180"/>
      <c r="T46" s="180"/>
      <c r="U46" s="180"/>
      <c r="V46" s="180"/>
      <c r="W46" s="180"/>
      <c r="X46" s="180"/>
      <c r="Y46" s="180"/>
      <c r="AA46" s="1"/>
      <c r="AB46" s="1"/>
      <c r="AC46" s="179"/>
      <c r="AD46" s="179"/>
      <c r="AE46" s="179"/>
      <c r="AF46" s="179"/>
      <c r="AG46" s="179"/>
      <c r="AH46" s="179"/>
      <c r="AI46" s="1"/>
    </row>
    <row r="47" spans="1:35">
      <c r="S47" s="180"/>
      <c r="T47" s="180"/>
      <c r="U47" s="180"/>
      <c r="V47" s="180"/>
      <c r="W47" s="180"/>
      <c r="X47" s="180"/>
      <c r="Y47" s="180"/>
      <c r="AA47" s="1"/>
      <c r="AB47" s="1"/>
      <c r="AC47" s="179"/>
      <c r="AD47" s="179"/>
      <c r="AE47" s="179"/>
      <c r="AF47" s="179"/>
      <c r="AG47" s="179"/>
      <c r="AH47" s="179"/>
      <c r="AI47" s="1"/>
    </row>
  </sheetData>
  <sheetProtection algorithmName="SHA-512" hashValue="SDif+QmDbt0XEqW6U2lmuBfelVl/FWCR32VgGuS/YPM9v3fbPyIQqLGAM/l0W6WKWR+x2rm78Wjv1zV7cHwwkQ==" saltValue="+0lUu6sKGBt/VDbtiXLUPA==" spinCount="100000" sheet="1" objects="1" scenarios="1"/>
  <mergeCells count="17">
    <mergeCell ref="AC42:AH47"/>
    <mergeCell ref="T40:W40"/>
    <mergeCell ref="S41:X41"/>
    <mergeCell ref="AD40:AG40"/>
    <mergeCell ref="S42:Y47"/>
    <mergeCell ref="AA36:AI36"/>
    <mergeCell ref="AI10:AK10"/>
    <mergeCell ref="A1:A5"/>
    <mergeCell ref="B10:B11"/>
    <mergeCell ref="C10:C11"/>
    <mergeCell ref="A10:A11"/>
    <mergeCell ref="B1:AH5"/>
    <mergeCell ref="A17:A20"/>
    <mergeCell ref="A21:A24"/>
    <mergeCell ref="A12:A16"/>
    <mergeCell ref="A25:A26"/>
    <mergeCell ref="U8:AF8"/>
  </mergeCells>
  <conditionalFormatting sqref="D27:AH27">
    <cfRule type="cellIs" dxfId="2" priority="1" operator="greaterThan">
      <formula>0</formula>
    </cfRule>
  </conditionalFormatting>
  <conditionalFormatting sqref="D28:AH29">
    <cfRule type="cellIs" dxfId="1" priority="6" operator="greaterThan">
      <formula>3</formula>
    </cfRule>
  </conditionalFormatting>
  <conditionalFormatting sqref="J31">
    <cfRule type="cellIs" dxfId="0" priority="5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:B18 Z9:AC9 B12:B15 B19:B20 B25:B26 B21:B24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2" ma:contentTypeDescription="Tạo tài liệu mới." ma:contentTypeScope="" ma:versionID="8ac0d13f56e841a5a08764fc3582adeb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9c93424ef54679f5de04815f56707e2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616E37-8598-4F00-BE68-F72E93AF6E70}"/>
</file>

<file path=customXml/itemProps2.xml><?xml version="1.0" encoding="utf-8"?>
<ds:datastoreItem xmlns:ds="http://schemas.openxmlformats.org/officeDocument/2006/customXml" ds:itemID="{AA1AF322-A5CC-431E-8D9F-E95DB5AC8731}"/>
</file>

<file path=customXml/itemProps3.xml><?xml version="1.0" encoding="utf-8"?>
<ds:datastoreItem xmlns:ds="http://schemas.openxmlformats.org/officeDocument/2006/customXml" ds:itemID="{E879FB2B-3AE0-4420-9D9E-6F83289C9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Flight Dispatcher OCC SGN</cp:lastModifiedBy>
  <cp:revision/>
  <dcterms:created xsi:type="dcterms:W3CDTF">2025-10-02T01:46:48Z</dcterms:created>
  <dcterms:modified xsi:type="dcterms:W3CDTF">2026-02-22T04:16:09Z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