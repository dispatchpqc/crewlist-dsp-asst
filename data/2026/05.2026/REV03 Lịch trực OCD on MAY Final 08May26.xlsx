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10"/>
  <workbookPr/>
  <mc:AlternateContent xmlns:mc="http://schemas.openxmlformats.org/markup-compatibility/2006">
    <mc:Choice Requires="x15">
      <x15ac:absPath xmlns:x15ac="http://schemas.microsoft.com/office/spreadsheetml/2010/11/ac" url="https://sungroupcomvn.sharepoint.com/sites/SPQAirways/OCC/Shared Documents/2.Phòng Điều hành/1. Lịch trực OCD/2026/05.2026/"/>
    </mc:Choice>
  </mc:AlternateContent>
  <xr:revisionPtr revIDLastSave="18" documentId="6_{FA6A78D8-4D02-43F5-A5E3-8F908948D2CB}" xr6:coauthVersionLast="47" xr6:coauthVersionMax="47" xr10:uidLastSave="{5BBF9E1B-749F-4B8B-95D3-4DCE2FB19098}"/>
  <bookViews>
    <workbookView xWindow="-120" yWindow="-120" windowWidth="29040" windowHeight="15720" tabRatio="663" xr2:uid="{00000000-000D-0000-FFFF-FFFF00000000}"/>
  </bookViews>
  <sheets>
    <sheet name="OC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23" i="1" l="1" a="1"/>
  <c r="AK23" i="1" s="1"/>
  <c r="AL23" i="1" s="1"/>
  <c r="AJ23" i="1"/>
  <c r="AI23" i="1"/>
  <c r="AH23" i="1"/>
  <c r="AK25" i="1" l="1" a="1"/>
  <c r="AK25" i="1" s="1"/>
  <c r="AJ25" i="1"/>
  <c r="AI25" i="1"/>
  <c r="AH25" i="1"/>
  <c r="AK24" i="1" a="1"/>
  <c r="AK24" i="1" s="1"/>
  <c r="AJ24" i="1"/>
  <c r="AI24" i="1"/>
  <c r="AH24" i="1"/>
  <c r="AK22" i="1" a="1"/>
  <c r="AK22" i="1" s="1"/>
  <c r="AJ22" i="1"/>
  <c r="AI22" i="1"/>
  <c r="AH22" i="1"/>
  <c r="AK21" i="1" a="1"/>
  <c r="AK21" i="1" s="1"/>
  <c r="AJ21" i="1"/>
  <c r="AI21" i="1"/>
  <c r="AH21" i="1"/>
  <c r="AL25" i="1" l="1"/>
  <c r="AL24" i="1"/>
  <c r="AL22" i="1"/>
  <c r="AL21" i="1"/>
  <c r="H34" i="1"/>
  <c r="G34" i="1"/>
  <c r="H33" i="1"/>
  <c r="G33" i="1"/>
  <c r="H32" i="1"/>
  <c r="G32" i="1"/>
  <c r="AK31" i="1" l="1" a="1"/>
  <c r="AK31" i="1" s="1"/>
  <c r="AK30" i="1" a="1"/>
  <c r="AK30" i="1" s="1"/>
  <c r="AK29" i="1" a="1"/>
  <c r="AK29" i="1" s="1"/>
  <c r="AK28" i="1" a="1"/>
  <c r="AK28" i="1" s="1"/>
  <c r="AK27" i="1" a="1"/>
  <c r="AK27" i="1" s="1"/>
  <c r="AK26" i="1" a="1"/>
  <c r="AK26" i="1" s="1"/>
  <c r="AK19" i="1" a="1"/>
  <c r="AK19" i="1" s="1"/>
  <c r="AK18" i="1" a="1"/>
  <c r="AK18" i="1" s="1"/>
  <c r="AK17" i="1" a="1"/>
  <c r="AK17" i="1" s="1"/>
  <c r="AK20" i="1" a="1"/>
  <c r="AK20" i="1" s="1"/>
  <c r="AK16" i="1" a="1"/>
  <c r="AK16" i="1" s="1"/>
  <c r="AK15" i="1" a="1"/>
  <c r="AK15" i="1" s="1"/>
  <c r="AK14" i="1" a="1"/>
  <c r="AK14" i="1" s="1"/>
  <c r="AK13" i="1" a="1"/>
  <c r="AK13" i="1" s="1"/>
  <c r="AK12" i="1" a="1"/>
  <c r="AK12" i="1" s="1"/>
  <c r="B8" i="1" l="1"/>
  <c r="AJ30" i="1" l="1"/>
  <c r="AI30" i="1"/>
  <c r="AH30" i="1"/>
  <c r="AL30" i="1" l="1"/>
  <c r="I32" i="1"/>
  <c r="I33" i="1"/>
  <c r="I34" i="1"/>
  <c r="D32" i="1"/>
  <c r="D33" i="1"/>
  <c r="AH14" i="1"/>
  <c r="AI14" i="1" l="1"/>
  <c r="AJ14" i="1"/>
  <c r="E32" i="1"/>
  <c r="F32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E33" i="1"/>
  <c r="F33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AG33" i="1"/>
  <c r="E34" i="1"/>
  <c r="F34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AB34" i="1"/>
  <c r="AC34" i="1"/>
  <c r="AD34" i="1"/>
  <c r="AE34" i="1"/>
  <c r="AF34" i="1"/>
  <c r="AG34" i="1"/>
  <c r="D34" i="1"/>
  <c r="AJ31" i="1"/>
  <c r="AI31" i="1"/>
  <c r="AH31" i="1"/>
  <c r="AJ29" i="1"/>
  <c r="AI29" i="1"/>
  <c r="AH29" i="1"/>
  <c r="AJ28" i="1"/>
  <c r="AI28" i="1"/>
  <c r="AH28" i="1"/>
  <c r="AJ27" i="1"/>
  <c r="AI27" i="1"/>
  <c r="AH27" i="1"/>
  <c r="AJ26" i="1"/>
  <c r="AI26" i="1"/>
  <c r="AH26" i="1"/>
  <c r="AJ19" i="1"/>
  <c r="AI19" i="1"/>
  <c r="AH19" i="1"/>
  <c r="AJ20" i="1"/>
  <c r="AI20" i="1"/>
  <c r="AH20" i="1"/>
  <c r="AJ18" i="1"/>
  <c r="AI18" i="1"/>
  <c r="AH18" i="1"/>
  <c r="AJ17" i="1"/>
  <c r="AI17" i="1"/>
  <c r="AH17" i="1"/>
  <c r="AJ16" i="1"/>
  <c r="AI16" i="1"/>
  <c r="AH16" i="1"/>
  <c r="AJ13" i="1"/>
  <c r="AI13" i="1"/>
  <c r="AH13" i="1"/>
  <c r="AJ15" i="1"/>
  <c r="AI15" i="1"/>
  <c r="AH15" i="1"/>
  <c r="AJ12" i="1"/>
  <c r="AI12" i="1"/>
  <c r="AH12" i="1"/>
  <c r="AL16" i="1" l="1"/>
  <c r="AL15" i="1"/>
  <c r="AL14" i="1"/>
  <c r="AL13" i="1"/>
  <c r="AL12" i="1"/>
  <c r="AL29" i="1"/>
  <c r="AL27" i="1"/>
  <c r="AL28" i="1"/>
  <c r="AL26" i="1"/>
  <c r="AL19" i="1"/>
  <c r="AL18" i="1"/>
  <c r="AL17" i="1"/>
  <c r="AL20" i="1"/>
  <c r="AL3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<sst xmlns="http://schemas.openxmlformats.org/spreadsheetml/2006/main" count="500" uniqueCount="93">
  <si>
    <t>OCD - IOCC</t>
  </si>
  <si>
    <t>BẢNG PHÂN CÔNG LỊCH LÀM VIỆC</t>
  </si>
  <si>
    <t>FORM: SPA-IOCC</t>
  </si>
  <si>
    <t>Issue: 00</t>
  </si>
  <si>
    <t>Revision: 00</t>
  </si>
  <si>
    <t>Date: 03/09/2025</t>
  </si>
  <si>
    <t>Công kế hoạch</t>
  </si>
  <si>
    <r>
      <t xml:space="preserve">Tháng </t>
    </r>
    <r>
      <rPr>
        <b/>
        <sz val="11"/>
        <color rgb="FFFF0000"/>
        <rFont val="Times New Roman"/>
        <family val="1"/>
      </rPr>
      <t>05</t>
    </r>
    <r>
      <rPr>
        <b/>
        <sz val="11"/>
        <color theme="1"/>
        <rFont val="Times New Roman"/>
        <family val="1"/>
      </rPr>
      <t>/2026</t>
    </r>
  </si>
  <si>
    <t>Vị trí trực</t>
  </si>
  <si>
    <t>Mã 
nhân viên</t>
  </si>
  <si>
    <t>Họ tên</t>
  </si>
  <si>
    <t>Tổng ca trực</t>
  </si>
  <si>
    <t>Ca khác (8h)</t>
  </si>
  <si>
    <t>Tổng giờ công</t>
  </si>
  <si>
    <t>Note</t>
  </si>
  <si>
    <t>C.Nhật</t>
  </si>
  <si>
    <t>T.Hai</t>
  </si>
  <si>
    <t>T.Ba</t>
  </si>
  <si>
    <t>T.Tư</t>
  </si>
  <si>
    <t>T.Năm</t>
  </si>
  <si>
    <t>T.Sáu</t>
  </si>
  <si>
    <t>T.Bảy</t>
  </si>
  <si>
    <t>Ca HC</t>
  </si>
  <si>
    <t>Ca M</t>
  </si>
  <si>
    <t>Ca E</t>
  </si>
  <si>
    <t>NL: Nghỉ lễ
P: Phép, B: Bù,
SN, T: Training</t>
  </si>
  <si>
    <t>DM</t>
  </si>
  <si>
    <t>030346</t>
  </si>
  <si>
    <t>Đàm Xuân Hiến</t>
  </si>
  <si>
    <t>NL</t>
  </si>
  <si>
    <t>E</t>
  </si>
  <si>
    <t>M</t>
  </si>
  <si>
    <t>T</t>
  </si>
  <si>
    <t>030903</t>
  </si>
  <si>
    <t>Đào Chí Dũng</t>
  </si>
  <si>
    <t>031930</t>
  </si>
  <si>
    <t>Phạm Ninh Toàn</t>
  </si>
  <si>
    <t>030322</t>
  </si>
  <si>
    <t>Nguyễn Thái Uy</t>
  </si>
  <si>
    <t>031845</t>
  </si>
  <si>
    <t>Nguyễn Ngọc Long</t>
  </si>
  <si>
    <t>HC</t>
  </si>
  <si>
    <t>DSP HDQ</t>
  </si>
  <si>
    <t>030904</t>
  </si>
  <si>
    <t>Trần Đình Đạt</t>
  </si>
  <si>
    <t>030905</t>
  </si>
  <si>
    <t>Nguyễn Trương Hoàng Hưng</t>
  </si>
  <si>
    <t>030906</t>
  </si>
  <si>
    <t>Vũ Hoàng Hải</t>
  </si>
  <si>
    <t>030841</t>
  </si>
  <si>
    <t>Vũ Hoàng Long</t>
  </si>
  <si>
    <t>DSP ASST HDQ</t>
  </si>
  <si>
    <t>039278</t>
  </si>
  <si>
    <t>Nguyền Kiều Huyền Chi</t>
  </si>
  <si>
    <t>039280</t>
  </si>
  <si>
    <t>Đặng Thảo Linh</t>
  </si>
  <si>
    <t>039276</t>
  </si>
  <si>
    <t>Bùi Việt Anh</t>
  </si>
  <si>
    <t>039274</t>
  </si>
  <si>
    <t>Đỗ Nam Anh</t>
  </si>
  <si>
    <t>039272</t>
  </si>
  <si>
    <t>Hoa Hữu Nghĩa</t>
  </si>
  <si>
    <t>DSP SGN</t>
  </si>
  <si>
    <t>031844</t>
  </si>
  <si>
    <t>Nguyễn Hoàng Huy</t>
  </si>
  <si>
    <t>031843</t>
  </si>
  <si>
    <t>Lương Trung Hiếu</t>
  </si>
  <si>
    <t>031846</t>
  </si>
  <si>
    <t>Nguyễn Phúc Thịnh</t>
  </si>
  <si>
    <t>031847</t>
  </si>
  <si>
    <t>Hoàng Bảo Ngọc</t>
  </si>
  <si>
    <t>Permission</t>
  </si>
  <si>
    <t>032362</t>
  </si>
  <si>
    <t>Đào Huy Linh</t>
  </si>
  <si>
    <t>030746</t>
  </si>
  <si>
    <t>Nguyễn Việt Cường</t>
  </si>
  <si>
    <t>Ghi chú:</t>
  </si>
  <si>
    <t>Ca sáng (M)</t>
  </si>
  <si>
    <t>C510</t>
  </si>
  <si>
    <t>Từ 07:30 - 19:30</t>
  </si>
  <si>
    <t>Ca tối (E)</t>
  </si>
  <si>
    <t>C519</t>
  </si>
  <si>
    <t>Từ 19:30 - 07:30+</t>
  </si>
  <si>
    <t>Hành chính (HC)</t>
  </si>
  <si>
    <t>C087</t>
  </si>
  <si>
    <t>Từ 08:30 - 17:30</t>
  </si>
  <si>
    <t>Off</t>
  </si>
  <si>
    <t>Hà Nội, ngày 20 tháng 04 năm 2026</t>
  </si>
  <si>
    <t>Trainning</t>
  </si>
  <si>
    <t>Phê duyệt bởi</t>
  </si>
  <si>
    <t>Lập bảng bởi</t>
  </si>
  <si>
    <t>(Ký và ghi rõ họ tên)</t>
  </si>
  <si>
    <t>Vũ Quang Huy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</si>
</sst>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20"/>
      <color theme="1"/>
      <name val="Times New Roman"/>
      <family val="1"/>
    </font>
    <font>
      <i/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Times New Roman"/>
      <family val="1"/>
    </font>
    <font>
      <sz val="11"/>
      <name val="Times New Roman"/>
      <family val="1"/>
    </font>
    <font>
      <b/>
      <sz val="11"/>
      <color rgb="FFFF0000"/>
      <name val="Times New Roman"/>
      <family val="1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6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thin">
        <color indexed="64"/>
      </top>
      <bottom/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rgb="FF000000"/>
      </top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2">
    <xf numFmtId="0" fontId="0" fillId="0" borderId="0" xfId="0"/>
    <xf numFmtId="0" fontId="1" fillId="0" borderId="0" xfId="0" applyFont="1"/>
    <xf numFmtId="0" fontId="1" fillId="4" borderId="12" xfId="0" applyFont="1" applyFill="1" applyBorder="1" applyAlignment="1">
      <alignment horizontal="center" vertical="center"/>
    </xf>
    <xf numFmtId="0" fontId="2" fillId="0" borderId="0" xfId="0" applyFont="1"/>
    <xf numFmtId="0" fontId="2" fillId="3" borderId="0" xfId="0" applyFont="1" applyFill="1"/>
    <xf numFmtId="0" fontId="3" fillId="5" borderId="0" xfId="0" applyFont="1" applyFill="1" applyAlignment="1">
      <alignment vertical="center"/>
    </xf>
    <xf numFmtId="0" fontId="3" fillId="5" borderId="5" xfId="0" applyFont="1" applyFill="1" applyBorder="1" applyAlignment="1">
      <alignment vertical="center"/>
    </xf>
    <xf numFmtId="0" fontId="3" fillId="5" borderId="6" xfId="0" applyFont="1" applyFill="1" applyBorder="1" applyAlignment="1">
      <alignment vertical="center"/>
    </xf>
    <xf numFmtId="0" fontId="3" fillId="5" borderId="7" xfId="0" applyFont="1" applyFill="1" applyBorder="1" applyAlignment="1">
      <alignment vertical="center"/>
    </xf>
    <xf numFmtId="0" fontId="3" fillId="5" borderId="8" xfId="0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0" fontId="5" fillId="5" borderId="2" xfId="0" applyFont="1" applyFill="1" applyBorder="1" applyAlignment="1">
      <alignment vertical="center"/>
    </xf>
    <xf numFmtId="0" fontId="5" fillId="5" borderId="3" xfId="0" applyFont="1" applyFill="1" applyBorder="1" applyAlignment="1">
      <alignment vertical="center"/>
    </xf>
    <xf numFmtId="0" fontId="6" fillId="5" borderId="4" xfId="0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1" fillId="4" borderId="21" xfId="0" applyFont="1" applyFill="1" applyBorder="1" applyAlignment="1">
      <alignment horizontal="center" vertical="center"/>
    </xf>
    <xf numFmtId="0" fontId="1" fillId="4" borderId="18" xfId="0" applyFont="1" applyFill="1" applyBorder="1" applyAlignment="1">
      <alignment horizontal="center" vertical="center"/>
    </xf>
    <xf numFmtId="0" fontId="1" fillId="0" borderId="30" xfId="0" applyFont="1" applyBorder="1" applyAlignment="1">
      <alignment horizontal="center"/>
    </xf>
    <xf numFmtId="0" fontId="1" fillId="0" borderId="15" xfId="0" quotePrefix="1" applyFont="1" applyBorder="1" applyAlignment="1">
      <alignment horizontal="center" vertical="center"/>
    </xf>
    <xf numFmtId="0" fontId="1" fillId="0" borderId="31" xfId="0" quotePrefix="1" applyFont="1" applyBorder="1" applyAlignment="1">
      <alignment horizontal="center" vertical="center"/>
    </xf>
    <xf numFmtId="0" fontId="1" fillId="0" borderId="35" xfId="0" quotePrefix="1" applyFont="1" applyBorder="1" applyAlignment="1">
      <alignment horizontal="center" vertical="center"/>
    </xf>
    <xf numFmtId="0" fontId="1" fillId="0" borderId="36" xfId="0" quotePrefix="1" applyFont="1" applyBorder="1" applyAlignment="1">
      <alignment horizontal="center" vertical="center"/>
    </xf>
    <xf numFmtId="0" fontId="7" fillId="0" borderId="0" xfId="0" applyFont="1"/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8" fillId="0" borderId="0" xfId="0" applyFont="1"/>
    <xf numFmtId="0" fontId="1" fillId="6" borderId="18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1" fillId="0" borderId="23" xfId="0" quotePrefix="1" applyFont="1" applyBorder="1" applyAlignment="1">
      <alignment horizontal="center" vertical="center"/>
    </xf>
    <xf numFmtId="0" fontId="1" fillId="0" borderId="33" xfId="0" quotePrefix="1" applyFont="1" applyBorder="1" applyAlignment="1">
      <alignment horizontal="center" vertical="center"/>
    </xf>
    <xf numFmtId="0" fontId="0" fillId="2" borderId="0" xfId="0" applyFill="1"/>
    <xf numFmtId="0" fontId="1" fillId="0" borderId="32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1" fillId="0" borderId="0" xfId="0" quotePrefix="1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12" xfId="0" applyBorder="1"/>
    <xf numFmtId="0" fontId="1" fillId="4" borderId="39" xfId="0" applyFont="1" applyFill="1" applyBorder="1" applyAlignment="1">
      <alignment horizontal="center" vertical="center"/>
    </xf>
    <xf numFmtId="0" fontId="1" fillId="4" borderId="49" xfId="0" applyFont="1" applyFill="1" applyBorder="1" applyAlignment="1">
      <alignment horizontal="center" vertical="center"/>
    </xf>
    <xf numFmtId="0" fontId="2" fillId="4" borderId="49" xfId="0" applyFont="1" applyFill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  <xf numFmtId="0" fontId="1" fillId="4" borderId="38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 vertical="center"/>
    </xf>
    <xf numFmtId="0" fontId="1" fillId="0" borderId="17" xfId="0" applyFont="1" applyBorder="1"/>
    <xf numFmtId="0" fontId="0" fillId="0" borderId="18" xfId="0" applyBorder="1"/>
    <xf numFmtId="0" fontId="1" fillId="0" borderId="19" xfId="0" applyFont="1" applyBorder="1"/>
    <xf numFmtId="0" fontId="1" fillId="0" borderId="39" xfId="0" applyFont="1" applyBorder="1"/>
    <xf numFmtId="0" fontId="1" fillId="0" borderId="20" xfId="0" applyFont="1" applyBorder="1"/>
    <xf numFmtId="0" fontId="1" fillId="0" borderId="49" xfId="0" applyFont="1" applyBorder="1"/>
    <xf numFmtId="0" fontId="0" fillId="0" borderId="21" xfId="0" applyBorder="1"/>
    <xf numFmtId="0" fontId="1" fillId="0" borderId="22" xfId="0" applyFont="1" applyBorder="1"/>
    <xf numFmtId="0" fontId="1" fillId="0" borderId="25" xfId="0" applyFont="1" applyBorder="1" applyAlignment="1">
      <alignment horizontal="center"/>
    </xf>
    <xf numFmtId="0" fontId="1" fillId="0" borderId="50" xfId="0" applyFont="1" applyBorder="1" applyAlignment="1">
      <alignment horizontal="center"/>
    </xf>
    <xf numFmtId="0" fontId="1" fillId="6" borderId="21" xfId="0" applyFont="1" applyFill="1" applyBorder="1" applyAlignment="1">
      <alignment horizontal="center" textRotation="90"/>
    </xf>
    <xf numFmtId="0" fontId="2" fillId="4" borderId="22" xfId="0" applyFont="1" applyFill="1" applyBorder="1" applyAlignment="1">
      <alignment horizontal="center" vertical="center"/>
    </xf>
    <xf numFmtId="0" fontId="12" fillId="7" borderId="41" xfId="0" applyFont="1" applyFill="1" applyBorder="1" applyAlignment="1">
      <alignment horizontal="center" vertical="center"/>
    </xf>
    <xf numFmtId="0" fontId="12" fillId="7" borderId="43" xfId="0" applyFont="1" applyFill="1" applyBorder="1"/>
    <xf numFmtId="0" fontId="12" fillId="7" borderId="42" xfId="0" applyFont="1" applyFill="1" applyBorder="1" applyAlignment="1">
      <alignment horizontal="center" vertical="center"/>
    </xf>
    <xf numFmtId="0" fontId="12" fillId="7" borderId="43" xfId="0" applyFont="1" applyFill="1" applyBorder="1" applyAlignment="1">
      <alignment horizontal="center" vertical="center"/>
    </xf>
    <xf numFmtId="0" fontId="12" fillId="7" borderId="51" xfId="0" applyFont="1" applyFill="1" applyBorder="1" applyAlignment="1">
      <alignment horizontal="center" vertical="center"/>
    </xf>
    <xf numFmtId="0" fontId="2" fillId="7" borderId="35" xfId="0" applyFont="1" applyFill="1" applyBorder="1" applyAlignment="1">
      <alignment horizontal="center" vertical="center"/>
    </xf>
    <xf numFmtId="0" fontId="2" fillId="7" borderId="36" xfId="0" applyFont="1" applyFill="1" applyBorder="1" applyAlignment="1">
      <alignment horizontal="center" vertical="center"/>
    </xf>
    <xf numFmtId="0" fontId="2" fillId="7" borderId="37" xfId="0" applyFont="1" applyFill="1" applyBorder="1" applyAlignment="1">
      <alignment horizontal="center" vertical="center"/>
    </xf>
    <xf numFmtId="0" fontId="1" fillId="4" borderId="34" xfId="0" applyFont="1" applyFill="1" applyBorder="1" applyAlignment="1">
      <alignment horizontal="center" vertical="center"/>
    </xf>
    <xf numFmtId="0" fontId="1" fillId="4" borderId="40" xfId="0" applyFont="1" applyFill="1" applyBorder="1" applyAlignment="1">
      <alignment horizontal="center" vertical="center"/>
    </xf>
    <xf numFmtId="0" fontId="2" fillId="7" borderId="53" xfId="0" applyFont="1" applyFill="1" applyBorder="1" applyAlignment="1">
      <alignment horizontal="center" vertical="center"/>
    </xf>
    <xf numFmtId="0" fontId="12" fillId="7" borderId="54" xfId="0" applyFont="1" applyFill="1" applyBorder="1" applyAlignment="1">
      <alignment horizontal="center" vertical="center"/>
    </xf>
    <xf numFmtId="0" fontId="1" fillId="4" borderId="44" xfId="0" applyFont="1" applyFill="1" applyBorder="1" applyAlignment="1">
      <alignment horizontal="center" vertical="center"/>
    </xf>
    <xf numFmtId="0" fontId="1" fillId="4" borderId="46" xfId="0" applyFont="1" applyFill="1" applyBorder="1" applyAlignment="1">
      <alignment horizontal="center" vertical="center"/>
    </xf>
    <xf numFmtId="0" fontId="1" fillId="4" borderId="47" xfId="0" applyFont="1" applyFill="1" applyBorder="1" applyAlignment="1">
      <alignment horizontal="center" vertical="center"/>
    </xf>
    <xf numFmtId="0" fontId="1" fillId="4" borderId="48" xfId="0" applyFont="1" applyFill="1" applyBorder="1" applyAlignment="1">
      <alignment horizontal="center" vertical="center"/>
    </xf>
    <xf numFmtId="0" fontId="1" fillId="4" borderId="45" xfId="0" applyFont="1" applyFill="1" applyBorder="1" applyAlignment="1">
      <alignment horizontal="center" vertical="center"/>
    </xf>
    <xf numFmtId="0" fontId="2" fillId="7" borderId="52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/>
    </xf>
    <xf numFmtId="0" fontId="10" fillId="2" borderId="18" xfId="0" applyFont="1" applyFill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9" fillId="0" borderId="49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52" xfId="0" quotePrefix="1" applyFont="1" applyBorder="1" applyAlignment="1">
      <alignment horizontal="center" vertical="center"/>
    </xf>
    <xf numFmtId="0" fontId="1" fillId="0" borderId="16" xfId="0" applyFont="1" applyBorder="1" applyAlignment="1">
      <alignment horizontal="center"/>
    </xf>
    <xf numFmtId="0" fontId="9" fillId="0" borderId="38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56" xfId="0" applyFont="1" applyBorder="1" applyAlignment="1">
      <alignment horizontal="center" vertical="center"/>
    </xf>
    <xf numFmtId="0" fontId="2" fillId="7" borderId="52" xfId="0" applyFont="1" applyFill="1" applyBorder="1" applyAlignment="1">
      <alignment horizontal="center" vertical="center"/>
    </xf>
    <xf numFmtId="0" fontId="9" fillId="0" borderId="34" xfId="0" applyFont="1" applyBorder="1" applyAlignment="1">
      <alignment horizontal="center" vertical="center"/>
    </xf>
    <xf numFmtId="0" fontId="9" fillId="0" borderId="40" xfId="0" applyFont="1" applyBorder="1" applyAlignment="1">
      <alignment horizontal="center" vertical="center"/>
    </xf>
    <xf numFmtId="0" fontId="1" fillId="0" borderId="30" xfId="0" quotePrefix="1" applyFont="1" applyBorder="1" applyAlignment="1">
      <alignment horizontal="center" vertical="center"/>
    </xf>
    <xf numFmtId="0" fontId="9" fillId="0" borderId="58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0" fillId="0" borderId="46" xfId="0" applyFont="1" applyBorder="1" applyAlignment="1">
      <alignment horizontal="center" vertical="center"/>
    </xf>
    <xf numFmtId="0" fontId="1" fillId="4" borderId="19" xfId="0" applyFont="1" applyFill="1" applyBorder="1" applyAlignment="1">
      <alignment horizontal="center" vertical="center"/>
    </xf>
    <xf numFmtId="0" fontId="1" fillId="4" borderId="20" xfId="0" applyFont="1" applyFill="1" applyBorder="1" applyAlignment="1">
      <alignment horizontal="center" vertical="center"/>
    </xf>
    <xf numFmtId="0" fontId="1" fillId="4" borderId="22" xfId="0" applyFont="1" applyFill="1" applyBorder="1" applyAlignment="1">
      <alignment horizontal="center" vertical="center"/>
    </xf>
    <xf numFmtId="0" fontId="9" fillId="0" borderId="57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textRotation="90"/>
    </xf>
    <xf numFmtId="0" fontId="1" fillId="6" borderId="17" xfId="0" applyFont="1" applyFill="1" applyBorder="1" applyAlignment="1">
      <alignment horizontal="center" vertical="center"/>
    </xf>
    <xf numFmtId="0" fontId="1" fillId="6" borderId="49" xfId="0" applyFont="1" applyFill="1" applyBorder="1" applyAlignment="1">
      <alignment horizontal="center" textRotation="90"/>
    </xf>
    <xf numFmtId="0" fontId="1" fillId="0" borderId="22" xfId="0" applyFont="1" applyBorder="1" applyAlignment="1">
      <alignment horizontal="center" textRotation="90"/>
    </xf>
    <xf numFmtId="0" fontId="9" fillId="2" borderId="17" xfId="0" applyFont="1" applyFill="1" applyBorder="1" applyAlignment="1">
      <alignment horizontal="center" vertical="center"/>
    </xf>
    <xf numFmtId="0" fontId="9" fillId="2" borderId="18" xfId="0" applyFont="1" applyFill="1" applyBorder="1" applyAlignment="1">
      <alignment horizontal="center" vertical="center"/>
    </xf>
    <xf numFmtId="0" fontId="10" fillId="2" borderId="21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0" fontId="9" fillId="2" borderId="58" xfId="0" applyFont="1" applyFill="1" applyBorder="1" applyAlignment="1">
      <alignment horizontal="center" vertical="center"/>
    </xf>
    <xf numFmtId="0" fontId="10" fillId="8" borderId="12" xfId="0" applyFont="1" applyFill="1" applyBorder="1" applyAlignment="1">
      <alignment horizontal="center" vertical="center"/>
    </xf>
    <xf numFmtId="0" fontId="10" fillId="8" borderId="13" xfId="0" applyFont="1" applyFill="1" applyBorder="1" applyAlignment="1">
      <alignment horizontal="center" vertical="center"/>
    </xf>
    <xf numFmtId="0" fontId="10" fillId="8" borderId="40" xfId="0" applyFont="1" applyFill="1" applyBorder="1" applyAlignment="1">
      <alignment horizontal="center" vertical="center"/>
    </xf>
    <xf numFmtId="0" fontId="10" fillId="8" borderId="19" xfId="0" applyFont="1" applyFill="1" applyBorder="1" applyAlignment="1">
      <alignment horizontal="center" vertical="center"/>
    </xf>
    <xf numFmtId="0" fontId="10" fillId="8" borderId="20" xfId="0" applyFont="1" applyFill="1" applyBorder="1" applyAlignment="1">
      <alignment horizontal="center" vertical="center"/>
    </xf>
    <xf numFmtId="0" fontId="10" fillId="8" borderId="22" xfId="0" applyFont="1" applyFill="1" applyBorder="1" applyAlignment="1">
      <alignment horizontal="center" vertical="center"/>
    </xf>
    <xf numFmtId="0" fontId="10" fillId="8" borderId="18" xfId="0" applyFont="1" applyFill="1" applyBorder="1" applyAlignment="1">
      <alignment horizontal="center" vertical="center"/>
    </xf>
    <xf numFmtId="0" fontId="10" fillId="0" borderId="44" xfId="0" applyFont="1" applyBorder="1" applyAlignment="1">
      <alignment horizontal="center" vertical="center"/>
    </xf>
    <xf numFmtId="0" fontId="10" fillId="8" borderId="46" xfId="0" applyFont="1" applyFill="1" applyBorder="1" applyAlignment="1">
      <alignment horizontal="center" vertical="center"/>
    </xf>
    <xf numFmtId="0" fontId="1" fillId="0" borderId="32" xfId="0" quotePrefix="1" applyFont="1" applyBorder="1" applyAlignment="1">
      <alignment horizontal="center" vertical="center"/>
    </xf>
    <xf numFmtId="0" fontId="9" fillId="0" borderId="55" xfId="0" applyFont="1" applyBorder="1" applyAlignment="1">
      <alignment horizontal="center" vertical="center"/>
    </xf>
    <xf numFmtId="0" fontId="1" fillId="0" borderId="60" xfId="0" quotePrefix="1" applyFont="1" applyBorder="1" applyAlignment="1">
      <alignment horizontal="center" vertical="center"/>
    </xf>
    <xf numFmtId="0" fontId="1" fillId="8" borderId="0" xfId="0" applyFont="1" applyFill="1"/>
    <xf numFmtId="0" fontId="9" fillId="2" borderId="39" xfId="0" applyFont="1" applyFill="1" applyBorder="1" applyAlignment="1">
      <alignment horizontal="center" vertical="center"/>
    </xf>
    <xf numFmtId="0" fontId="9" fillId="2" borderId="34" xfId="0" applyFont="1" applyFill="1" applyBorder="1" applyAlignment="1">
      <alignment horizontal="center" vertical="center"/>
    </xf>
    <xf numFmtId="0" fontId="10" fillId="0" borderId="40" xfId="0" applyFont="1" applyBorder="1" applyAlignment="1">
      <alignment horizontal="center" vertical="center"/>
    </xf>
    <xf numFmtId="0" fontId="10" fillId="0" borderId="55" xfId="0" applyFont="1" applyBorder="1" applyAlignment="1">
      <alignment horizontal="center" vertical="center"/>
    </xf>
    <xf numFmtId="0" fontId="9" fillId="2" borderId="49" xfId="0" applyFont="1" applyFill="1" applyBorder="1" applyAlignment="1">
      <alignment horizontal="center" vertical="center"/>
    </xf>
    <xf numFmtId="0" fontId="9" fillId="2" borderId="21" xfId="0" applyFont="1" applyFill="1" applyBorder="1" applyAlignment="1">
      <alignment horizontal="center" vertical="center"/>
    </xf>
    <xf numFmtId="0" fontId="9" fillId="7" borderId="13" xfId="0" applyFont="1" applyFill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9" fillId="7" borderId="21" xfId="0" applyFont="1" applyFill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" fillId="4" borderId="57" xfId="0" applyFont="1" applyFill="1" applyBorder="1" applyAlignment="1">
      <alignment horizontal="center" vertical="center"/>
    </xf>
    <xf numFmtId="0" fontId="1" fillId="4" borderId="58" xfId="0" applyFont="1" applyFill="1" applyBorder="1" applyAlignment="1">
      <alignment horizontal="center" vertical="center"/>
    </xf>
    <xf numFmtId="0" fontId="1" fillId="4" borderId="59" xfId="0" applyFont="1" applyFill="1" applyBorder="1" applyAlignment="1">
      <alignment horizontal="center" vertical="center"/>
    </xf>
    <xf numFmtId="0" fontId="9" fillId="2" borderId="61" xfId="0" applyFont="1" applyFill="1" applyBorder="1" applyAlignment="1">
      <alignment horizontal="center" vertical="center"/>
    </xf>
    <xf numFmtId="0" fontId="10" fillId="2" borderId="13" xfId="0" applyFont="1" applyFill="1" applyBorder="1" applyAlignment="1">
      <alignment horizontal="center" vertical="center"/>
    </xf>
    <xf numFmtId="0" fontId="10" fillId="8" borderId="45" xfId="0" applyFont="1" applyFill="1" applyBorder="1" applyAlignment="1">
      <alignment horizontal="center" vertical="center"/>
    </xf>
    <xf numFmtId="0" fontId="9" fillId="7" borderId="12" xfId="0" applyFont="1" applyFill="1" applyBorder="1" applyAlignment="1">
      <alignment horizontal="center" vertical="center"/>
    </xf>
    <xf numFmtId="0" fontId="9" fillId="7" borderId="18" xfId="0" applyFont="1" applyFill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50" xfId="0" applyFont="1" applyBorder="1" applyAlignment="1">
      <alignment horizontal="center" vertical="center"/>
    </xf>
    <xf numFmtId="0" fontId="1" fillId="0" borderId="62" xfId="0" applyFont="1" applyBorder="1" applyAlignment="1">
      <alignment horizontal="center" vertical="center"/>
    </xf>
    <xf numFmtId="0" fontId="1" fillId="0" borderId="26" xfId="0" quotePrefix="1" applyFont="1" applyBorder="1" applyAlignment="1">
      <alignment horizontal="center" vertical="center"/>
    </xf>
    <xf numFmtId="0" fontId="1" fillId="0" borderId="37" xfId="0" quotePrefix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2" fillId="4" borderId="17" xfId="0" applyFont="1" applyFill="1" applyBorder="1" applyAlignment="1">
      <alignment horizontal="center"/>
    </xf>
    <xf numFmtId="0" fontId="2" fillId="4" borderId="18" xfId="0" applyFont="1" applyFill="1" applyBorder="1" applyAlignment="1">
      <alignment horizontal="center"/>
    </xf>
    <xf numFmtId="0" fontId="2" fillId="4" borderId="19" xfId="0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24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EBED3"/>
        </patternFill>
      </fill>
    </dxf>
  </dxfs>
  <tableStyles count="0" defaultTableStyle="TableStyleMedium2" defaultPivotStyle="PivotStyleLight16"/>
  <colors>
    <mruColors>
      <color rgb="FFFEBED3"/>
      <color rgb="FFFDA1C0"/>
      <color rgb="FFFDBFCF"/>
      <color rgb="FFFEF0F3"/>
      <color rgb="FFFFEFF7"/>
      <color rgb="FFFFEFF3"/>
      <color rgb="FFFFFFFF"/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91440</xdr:colOff>
      <xdr:row>0</xdr:row>
      <xdr:rowOff>91440</xdr:rowOff>
    </xdr:from>
    <xdr:to>
      <xdr:col>0</xdr:col>
      <xdr:colOff>999490</xdr:colOff>
      <xdr:row>3</xdr:row>
      <xdr:rowOff>117475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" y="91440"/>
          <a:ext cx="908050" cy="5746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52"/>
  <sheetViews>
    <sheetView tabSelected="1" zoomScaleNormal="100" workbookViewId="0">
      <pane xSplit="3" ySplit="11" topLeftCell="R12" activePane="bottomRight" state="frozen"/>
      <selection pane="bottomRight" activeCell="A12" sqref="A12:A16"/>
      <selection pane="bottomLeft" activeCell="A12" sqref="A12"/>
      <selection pane="topRight" activeCell="D1" sqref="D1"/>
    </sheetView>
  </sheetViews>
  <sheetFormatPr defaultColWidth="8.5703125" defaultRowHeight="15"/>
  <cols>
    <col min="1" max="1" width="16.42578125" customWidth="1"/>
    <col min="2" max="2" width="9.5703125" customWidth="1"/>
    <col min="3" max="3" width="27.7109375" bestFit="1" customWidth="1"/>
    <col min="4" max="13" width="3.5703125" customWidth="1"/>
    <col min="14" max="14" width="3.42578125" customWidth="1"/>
    <col min="15" max="33" width="3.5703125" customWidth="1"/>
    <col min="34" max="36" width="8.42578125" customWidth="1"/>
    <col min="37" max="37" width="16.28515625" customWidth="1"/>
    <col min="38" max="38" width="16" customWidth="1"/>
    <col min="39" max="39" width="16.5703125" bestFit="1" customWidth="1"/>
  </cols>
  <sheetData>
    <row r="1" spans="1:39" ht="14.85" customHeight="1">
      <c r="A1" s="157" t="s">
        <v>0</v>
      </c>
      <c r="B1" s="166" t="s">
        <v>1</v>
      </c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7"/>
      <c r="W1" s="167"/>
      <c r="X1" s="167"/>
      <c r="Y1" s="167"/>
      <c r="Z1" s="167"/>
      <c r="AA1" s="167"/>
      <c r="AB1" s="167"/>
      <c r="AC1" s="167"/>
      <c r="AD1" s="167"/>
      <c r="AE1" s="167"/>
      <c r="AF1" s="167"/>
      <c r="AG1" s="168"/>
      <c r="AH1" s="10" t="s">
        <v>2</v>
      </c>
      <c r="AI1" s="11"/>
      <c r="AJ1" s="12"/>
    </row>
    <row r="2" spans="1:39" ht="14.85" customHeight="1">
      <c r="A2" s="158"/>
      <c r="B2" s="169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  <c r="R2" s="170"/>
      <c r="S2" s="170"/>
      <c r="T2" s="170"/>
      <c r="U2" s="170"/>
      <c r="V2" s="170"/>
      <c r="W2" s="170"/>
      <c r="X2" s="170"/>
      <c r="Y2" s="170"/>
      <c r="Z2" s="170"/>
      <c r="AA2" s="170"/>
      <c r="AB2" s="170"/>
      <c r="AC2" s="170"/>
      <c r="AD2" s="170"/>
      <c r="AE2" s="170"/>
      <c r="AF2" s="170"/>
      <c r="AG2" s="171"/>
      <c r="AH2" s="13" t="s">
        <v>3</v>
      </c>
      <c r="AI2" s="5"/>
      <c r="AJ2" s="6"/>
    </row>
    <row r="3" spans="1:39" ht="14.85" customHeight="1">
      <c r="A3" s="158"/>
      <c r="B3" s="169"/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  <c r="R3" s="170"/>
      <c r="S3" s="170"/>
      <c r="T3" s="170"/>
      <c r="U3" s="170"/>
      <c r="V3" s="170"/>
      <c r="W3" s="170"/>
      <c r="X3" s="170"/>
      <c r="Y3" s="170"/>
      <c r="Z3" s="170"/>
      <c r="AA3" s="170"/>
      <c r="AB3" s="170"/>
      <c r="AC3" s="170"/>
      <c r="AD3" s="170"/>
      <c r="AE3" s="170"/>
      <c r="AF3" s="170"/>
      <c r="AG3" s="171"/>
      <c r="AH3" s="13" t="s">
        <v>4</v>
      </c>
      <c r="AI3" s="5"/>
      <c r="AJ3" s="6"/>
    </row>
    <row r="4" spans="1:39" ht="14.85" customHeight="1">
      <c r="A4" s="158"/>
      <c r="B4" s="169"/>
      <c r="C4" s="170"/>
      <c r="D4" s="170"/>
      <c r="E4" s="170"/>
      <c r="F4" s="170"/>
      <c r="G4" s="170"/>
      <c r="H4" s="170"/>
      <c r="I4" s="170"/>
      <c r="J4" s="170"/>
      <c r="K4" s="170"/>
      <c r="L4" s="170"/>
      <c r="M4" s="170"/>
      <c r="N4" s="170"/>
      <c r="O4" s="170"/>
      <c r="P4" s="170"/>
      <c r="Q4" s="170"/>
      <c r="R4" s="170"/>
      <c r="S4" s="170"/>
      <c r="T4" s="170"/>
      <c r="U4" s="170"/>
      <c r="V4" s="170"/>
      <c r="W4" s="170"/>
      <c r="X4" s="170"/>
      <c r="Y4" s="170"/>
      <c r="Z4" s="170"/>
      <c r="AA4" s="170"/>
      <c r="AB4" s="170"/>
      <c r="AC4" s="170"/>
      <c r="AD4" s="170"/>
      <c r="AE4" s="170"/>
      <c r="AF4" s="170"/>
      <c r="AG4" s="171"/>
      <c r="AH4" s="13" t="s">
        <v>5</v>
      </c>
      <c r="AI4" s="5"/>
      <c r="AJ4" s="6"/>
    </row>
    <row r="5" spans="1:39" ht="15" customHeight="1" thickBot="1">
      <c r="A5" s="159"/>
      <c r="B5" s="172"/>
      <c r="C5" s="173"/>
      <c r="D5" s="173"/>
      <c r="E5" s="173"/>
      <c r="F5" s="173"/>
      <c r="G5" s="173"/>
      <c r="H5" s="173"/>
      <c r="I5" s="173"/>
      <c r="J5" s="173"/>
      <c r="K5" s="173"/>
      <c r="L5" s="173"/>
      <c r="M5" s="173"/>
      <c r="N5" s="173"/>
      <c r="O5" s="173"/>
      <c r="P5" s="173"/>
      <c r="Q5" s="173"/>
      <c r="R5" s="173"/>
      <c r="S5" s="173"/>
      <c r="T5" s="173"/>
      <c r="U5" s="173"/>
      <c r="V5" s="173"/>
      <c r="W5" s="173"/>
      <c r="X5" s="173"/>
      <c r="Y5" s="173"/>
      <c r="Z5" s="173"/>
      <c r="AA5" s="173"/>
      <c r="AB5" s="173"/>
      <c r="AC5" s="173"/>
      <c r="AD5" s="173"/>
      <c r="AE5" s="173"/>
      <c r="AF5" s="173"/>
      <c r="AG5" s="174"/>
      <c r="AH5" s="7"/>
      <c r="AI5" s="8"/>
      <c r="AJ5" s="9"/>
    </row>
    <row r="7" spans="1:39">
      <c r="A7" s="1" t="s">
        <v>6</v>
      </c>
      <c r="B7" s="22">
        <v>25</v>
      </c>
      <c r="C7" s="22"/>
      <c r="AH7" s="1"/>
    </row>
    <row r="8" spans="1:39">
      <c r="A8" s="3" t="s">
        <v>7</v>
      </c>
      <c r="B8" s="22">
        <f>B7*8</f>
        <v>200</v>
      </c>
    </row>
    <row r="9" spans="1:39" ht="15.75" thickBot="1"/>
    <row r="10" spans="1:39">
      <c r="A10" s="164" t="s">
        <v>8</v>
      </c>
      <c r="B10" s="160" t="s">
        <v>9</v>
      </c>
      <c r="C10" s="162" t="s">
        <v>10</v>
      </c>
      <c r="D10" s="106">
        <v>26</v>
      </c>
      <c r="E10" s="84">
        <v>27</v>
      </c>
      <c r="F10" s="84">
        <v>28</v>
      </c>
      <c r="G10" s="84">
        <v>29</v>
      </c>
      <c r="H10" s="84">
        <v>30</v>
      </c>
      <c r="I10" s="84">
        <v>1</v>
      </c>
      <c r="J10" s="84">
        <v>2</v>
      </c>
      <c r="K10" s="26">
        <v>3</v>
      </c>
      <c r="L10" s="84">
        <v>4</v>
      </c>
      <c r="M10" s="84">
        <v>5</v>
      </c>
      <c r="N10" s="84">
        <v>6</v>
      </c>
      <c r="O10" s="84">
        <v>7</v>
      </c>
      <c r="P10" s="84">
        <v>8</v>
      </c>
      <c r="Q10" s="84">
        <v>9</v>
      </c>
      <c r="R10" s="26">
        <v>10</v>
      </c>
      <c r="S10" s="84">
        <v>11</v>
      </c>
      <c r="T10" s="84">
        <v>12</v>
      </c>
      <c r="U10" s="84">
        <v>13</v>
      </c>
      <c r="V10" s="84">
        <v>14</v>
      </c>
      <c r="W10" s="84">
        <v>15</v>
      </c>
      <c r="X10" s="84">
        <v>16</v>
      </c>
      <c r="Y10" s="26">
        <v>17</v>
      </c>
      <c r="Z10" s="84">
        <v>18</v>
      </c>
      <c r="AA10" s="84">
        <v>19</v>
      </c>
      <c r="AB10" s="84">
        <v>20</v>
      </c>
      <c r="AC10" s="84">
        <v>21</v>
      </c>
      <c r="AD10" s="84">
        <v>22</v>
      </c>
      <c r="AE10" s="84">
        <v>23</v>
      </c>
      <c r="AF10" s="26">
        <v>24</v>
      </c>
      <c r="AG10" s="85">
        <v>25</v>
      </c>
      <c r="AH10" s="154" t="s">
        <v>11</v>
      </c>
      <c r="AI10" s="155"/>
      <c r="AJ10" s="156"/>
      <c r="AK10" s="59" t="s">
        <v>12</v>
      </c>
      <c r="AL10" s="54" t="s">
        <v>13</v>
      </c>
      <c r="AM10" s="25" t="s">
        <v>14</v>
      </c>
    </row>
    <row r="11" spans="1:39" ht="43.5" thickBot="1">
      <c r="A11" s="165"/>
      <c r="B11" s="161"/>
      <c r="C11" s="163"/>
      <c r="D11" s="107" t="s">
        <v>15</v>
      </c>
      <c r="E11" s="105" t="s">
        <v>16</v>
      </c>
      <c r="F11" s="105" t="s">
        <v>17</v>
      </c>
      <c r="G11" s="105" t="s">
        <v>18</v>
      </c>
      <c r="H11" s="105" t="s">
        <v>19</v>
      </c>
      <c r="I11" s="105" t="s">
        <v>20</v>
      </c>
      <c r="J11" s="105" t="s">
        <v>21</v>
      </c>
      <c r="K11" s="52" t="s">
        <v>15</v>
      </c>
      <c r="L11" s="105" t="s">
        <v>16</v>
      </c>
      <c r="M11" s="105" t="s">
        <v>17</v>
      </c>
      <c r="N11" s="105" t="s">
        <v>18</v>
      </c>
      <c r="O11" s="105" t="s">
        <v>19</v>
      </c>
      <c r="P11" s="105" t="s">
        <v>20</v>
      </c>
      <c r="Q11" s="105" t="s">
        <v>21</v>
      </c>
      <c r="R11" s="52" t="s">
        <v>15</v>
      </c>
      <c r="S11" s="105" t="s">
        <v>16</v>
      </c>
      <c r="T11" s="105" t="s">
        <v>17</v>
      </c>
      <c r="U11" s="105" t="s">
        <v>18</v>
      </c>
      <c r="V11" s="105" t="s">
        <v>19</v>
      </c>
      <c r="W11" s="105" t="s">
        <v>20</v>
      </c>
      <c r="X11" s="105" t="s">
        <v>21</v>
      </c>
      <c r="Y11" s="52" t="s">
        <v>15</v>
      </c>
      <c r="Z11" s="105" t="s">
        <v>16</v>
      </c>
      <c r="AA11" s="105" t="s">
        <v>17</v>
      </c>
      <c r="AB11" s="105" t="s">
        <v>18</v>
      </c>
      <c r="AC11" s="105" t="s">
        <v>19</v>
      </c>
      <c r="AD11" s="105" t="s">
        <v>20</v>
      </c>
      <c r="AE11" s="105" t="s">
        <v>21</v>
      </c>
      <c r="AF11" s="52" t="s">
        <v>15</v>
      </c>
      <c r="AG11" s="108" t="s">
        <v>16</v>
      </c>
      <c r="AH11" s="38" t="s">
        <v>22</v>
      </c>
      <c r="AI11" s="39" t="s">
        <v>23</v>
      </c>
      <c r="AJ11" s="53" t="s">
        <v>24</v>
      </c>
      <c r="AK11" s="71" t="s">
        <v>25</v>
      </c>
      <c r="AL11" s="55"/>
    </row>
    <row r="12" spans="1:39">
      <c r="A12" s="175" t="s">
        <v>26</v>
      </c>
      <c r="B12" s="20" t="s">
        <v>27</v>
      </c>
      <c r="C12" s="50" t="s">
        <v>28</v>
      </c>
      <c r="D12" s="109" t="s">
        <v>29</v>
      </c>
      <c r="E12" s="74" t="s">
        <v>30</v>
      </c>
      <c r="F12" s="74"/>
      <c r="G12" s="75" t="s">
        <v>31</v>
      </c>
      <c r="H12" s="110" t="s">
        <v>29</v>
      </c>
      <c r="I12" s="110" t="s">
        <v>29</v>
      </c>
      <c r="J12" s="73"/>
      <c r="K12" s="110"/>
      <c r="L12" s="72"/>
      <c r="M12" s="76" t="s">
        <v>31</v>
      </c>
      <c r="N12" s="74" t="s">
        <v>30</v>
      </c>
      <c r="O12" s="74"/>
      <c r="P12" s="74" t="s">
        <v>31</v>
      </c>
      <c r="Q12" s="74" t="s">
        <v>30</v>
      </c>
      <c r="R12" s="74" t="s">
        <v>30</v>
      </c>
      <c r="S12" s="74"/>
      <c r="T12" s="74" t="s">
        <v>31</v>
      </c>
      <c r="U12" s="74"/>
      <c r="V12" s="74" t="s">
        <v>31</v>
      </c>
      <c r="W12" s="75"/>
      <c r="X12" s="75" t="s">
        <v>30</v>
      </c>
      <c r="Y12" s="73"/>
      <c r="Z12" s="75" t="s">
        <v>31</v>
      </c>
      <c r="AA12" s="75" t="s">
        <v>31</v>
      </c>
      <c r="AB12" s="75" t="s">
        <v>31</v>
      </c>
      <c r="AC12" s="75"/>
      <c r="AD12" s="75" t="s">
        <v>30</v>
      </c>
      <c r="AE12" s="75"/>
      <c r="AF12" s="75"/>
      <c r="AG12" s="117" t="s">
        <v>32</v>
      </c>
      <c r="AH12" s="41">
        <f t="shared" ref="AH12:AH31" si="0">COUNTIF(D12:AG12,"HC")</f>
        <v>0</v>
      </c>
      <c r="AI12" s="16">
        <f t="shared" ref="AI12:AI31" si="1">COUNTIF(D12:AG12,"M")</f>
        <v>8</v>
      </c>
      <c r="AJ12" s="66">
        <f t="shared" ref="AJ12:AJ31" si="2">COUNTIF(D12:AG12,"E")</f>
        <v>6</v>
      </c>
      <c r="AK12" s="59" cm="1">
        <f t="array" ref="AK12">SUM(COUNTIF(D12:AG12,{"NL","P","B","T","SN"}))</f>
        <v>4</v>
      </c>
      <c r="AL12" s="54">
        <f>AH12*8+AI12*12+AJ12*12+AK12*8</f>
        <v>200</v>
      </c>
    </row>
    <row r="13" spans="1:39">
      <c r="A13" s="176"/>
      <c r="B13" s="21" t="s">
        <v>33</v>
      </c>
      <c r="C13" s="51" t="s">
        <v>34</v>
      </c>
      <c r="D13" s="127" t="s">
        <v>29</v>
      </c>
      <c r="E13" s="76"/>
      <c r="F13" s="76" t="s">
        <v>31</v>
      </c>
      <c r="G13" s="76" t="s">
        <v>30</v>
      </c>
      <c r="H13" s="72" t="s">
        <v>29</v>
      </c>
      <c r="I13" s="76" t="s">
        <v>31</v>
      </c>
      <c r="J13" s="76" t="s">
        <v>31</v>
      </c>
      <c r="K13" s="76" t="s">
        <v>30</v>
      </c>
      <c r="L13" s="76"/>
      <c r="M13" s="76"/>
      <c r="N13" s="76" t="s">
        <v>31</v>
      </c>
      <c r="O13" s="76"/>
      <c r="P13" s="76" t="s">
        <v>30</v>
      </c>
      <c r="Q13" s="76"/>
      <c r="R13" s="76"/>
      <c r="S13" s="76" t="s">
        <v>31</v>
      </c>
      <c r="T13" s="76"/>
      <c r="U13" s="76" t="s">
        <v>31</v>
      </c>
      <c r="V13" s="76" t="s">
        <v>30</v>
      </c>
      <c r="W13" s="76"/>
      <c r="X13" s="78"/>
      <c r="Y13" s="78"/>
      <c r="Z13" s="78" t="s">
        <v>30</v>
      </c>
      <c r="AA13" s="78" t="s">
        <v>30</v>
      </c>
      <c r="AB13" s="78" t="s">
        <v>30</v>
      </c>
      <c r="AC13" s="78"/>
      <c r="AD13" s="78" t="s">
        <v>31</v>
      </c>
      <c r="AE13" s="78" t="s">
        <v>30</v>
      </c>
      <c r="AF13" s="78"/>
      <c r="AG13" s="118" t="s">
        <v>32</v>
      </c>
      <c r="AH13" s="36">
        <f t="shared" si="0"/>
        <v>0</v>
      </c>
      <c r="AI13" s="2">
        <f t="shared" si="1"/>
        <v>7</v>
      </c>
      <c r="AJ13" s="67">
        <f t="shared" si="2"/>
        <v>8</v>
      </c>
      <c r="AK13" s="60" cm="1">
        <f t="array" ref="AK13">SUM(COUNTIF(D13:AG13,{"NL","P","B","T","SN"}))</f>
        <v>3</v>
      </c>
      <c r="AL13" s="56">
        <f t="shared" ref="AL13:AL31" si="3">AH13*8+AI13*12+AJ13*12+AK13*8</f>
        <v>204</v>
      </c>
      <c r="AM13" s="25"/>
    </row>
    <row r="14" spans="1:39">
      <c r="A14" s="176"/>
      <c r="B14" s="21" t="s">
        <v>35</v>
      </c>
      <c r="C14" s="51" t="s">
        <v>36</v>
      </c>
      <c r="D14" s="77" t="s">
        <v>31</v>
      </c>
      <c r="E14" s="76"/>
      <c r="F14" s="76"/>
      <c r="G14" s="72"/>
      <c r="H14" s="72" t="s">
        <v>29</v>
      </c>
      <c r="I14" s="72" t="s">
        <v>29</v>
      </c>
      <c r="J14" s="72"/>
      <c r="K14" s="76" t="s">
        <v>31</v>
      </c>
      <c r="L14" s="76" t="s">
        <v>31</v>
      </c>
      <c r="M14" s="76"/>
      <c r="N14" s="76" t="s">
        <v>30</v>
      </c>
      <c r="O14" s="76" t="s">
        <v>30</v>
      </c>
      <c r="P14" s="76"/>
      <c r="Q14" s="76" t="s">
        <v>31</v>
      </c>
      <c r="R14" s="76" t="s">
        <v>30</v>
      </c>
      <c r="S14" s="76"/>
      <c r="T14" s="76" t="s">
        <v>30</v>
      </c>
      <c r="U14" s="76"/>
      <c r="V14" s="76"/>
      <c r="W14" s="76" t="s">
        <v>31</v>
      </c>
      <c r="X14" s="78" t="s">
        <v>31</v>
      </c>
      <c r="Y14" s="78" t="s">
        <v>30</v>
      </c>
      <c r="Z14" s="114" t="s">
        <v>32</v>
      </c>
      <c r="AA14" s="114" t="s">
        <v>32</v>
      </c>
      <c r="AB14" s="114" t="s">
        <v>32</v>
      </c>
      <c r="AC14" s="78" t="s">
        <v>30</v>
      </c>
      <c r="AD14" s="78"/>
      <c r="AE14" s="78"/>
      <c r="AF14" s="78" t="s">
        <v>31</v>
      </c>
      <c r="AG14" s="79" t="s">
        <v>30</v>
      </c>
      <c r="AH14" s="36">
        <f t="shared" si="0"/>
        <v>0</v>
      </c>
      <c r="AI14" s="2">
        <f t="shared" si="1"/>
        <v>7</v>
      </c>
      <c r="AJ14" s="67">
        <f t="shared" si="2"/>
        <v>7</v>
      </c>
      <c r="AK14" s="60" cm="1">
        <f t="array" ref="AK14">SUM(COUNTIF(D14:AG14,{"NL","P","B","T","SN"}))</f>
        <v>5</v>
      </c>
      <c r="AL14" s="56">
        <f t="shared" si="3"/>
        <v>208</v>
      </c>
    </row>
    <row r="15" spans="1:39">
      <c r="A15" s="176"/>
      <c r="B15" s="21" t="s">
        <v>37</v>
      </c>
      <c r="C15" s="51" t="s">
        <v>38</v>
      </c>
      <c r="D15" s="127" t="s">
        <v>29</v>
      </c>
      <c r="E15" s="76" t="s">
        <v>31</v>
      </c>
      <c r="F15" s="76" t="s">
        <v>30</v>
      </c>
      <c r="G15" s="76"/>
      <c r="H15" s="76" t="s">
        <v>31</v>
      </c>
      <c r="I15" s="72" t="s">
        <v>29</v>
      </c>
      <c r="J15" s="72"/>
      <c r="K15" s="72"/>
      <c r="L15" s="76" t="s">
        <v>30</v>
      </c>
      <c r="M15" s="76" t="s">
        <v>30</v>
      </c>
      <c r="N15" s="76"/>
      <c r="O15" s="76" t="s">
        <v>31</v>
      </c>
      <c r="P15" s="76"/>
      <c r="Q15" s="72"/>
      <c r="R15" s="76" t="s">
        <v>31</v>
      </c>
      <c r="S15" s="76" t="s">
        <v>30</v>
      </c>
      <c r="T15" s="76"/>
      <c r="U15" s="76" t="s">
        <v>30</v>
      </c>
      <c r="V15" s="76" t="s">
        <v>30</v>
      </c>
      <c r="W15" s="76" t="s">
        <v>30</v>
      </c>
      <c r="X15" s="78"/>
      <c r="Y15" s="78"/>
      <c r="Z15" s="114" t="s">
        <v>32</v>
      </c>
      <c r="AA15" s="114" t="s">
        <v>32</v>
      </c>
      <c r="AB15" s="114" t="s">
        <v>32</v>
      </c>
      <c r="AC15" s="78" t="s">
        <v>31</v>
      </c>
      <c r="AD15" s="78" t="s">
        <v>31</v>
      </c>
      <c r="AE15" s="78"/>
      <c r="AF15" s="78"/>
      <c r="AG15" s="79" t="s">
        <v>31</v>
      </c>
      <c r="AH15" s="36">
        <f t="shared" si="0"/>
        <v>0</v>
      </c>
      <c r="AI15" s="2">
        <f t="shared" si="1"/>
        <v>7</v>
      </c>
      <c r="AJ15" s="67">
        <f t="shared" si="2"/>
        <v>7</v>
      </c>
      <c r="AK15" s="60" cm="1">
        <f t="array" ref="AK15">SUM(COUNTIF(D15:AG15,{"NL","P","B","T","SN"}))</f>
        <v>5</v>
      </c>
      <c r="AL15" s="56">
        <f t="shared" si="3"/>
        <v>208</v>
      </c>
      <c r="AM15" s="25"/>
    </row>
    <row r="16" spans="1:39" ht="15.75" thickBot="1">
      <c r="A16" s="177"/>
      <c r="B16" s="86" t="s">
        <v>39</v>
      </c>
      <c r="C16" s="87" t="s">
        <v>40</v>
      </c>
      <c r="D16" s="88" t="s">
        <v>30</v>
      </c>
      <c r="E16" s="89"/>
      <c r="F16" s="89" t="s">
        <v>31</v>
      </c>
      <c r="G16" s="89"/>
      <c r="H16" s="89" t="s">
        <v>30</v>
      </c>
      <c r="I16" s="89" t="s">
        <v>30</v>
      </c>
      <c r="J16" s="89" t="s">
        <v>30</v>
      </c>
      <c r="K16" s="89"/>
      <c r="L16" s="89"/>
      <c r="M16" s="89"/>
      <c r="N16" s="133" t="s">
        <v>41</v>
      </c>
      <c r="O16" s="133" t="s">
        <v>41</v>
      </c>
      <c r="P16" s="133" t="s">
        <v>41</v>
      </c>
      <c r="Q16" s="89"/>
      <c r="R16" s="89"/>
      <c r="S16" s="133" t="s">
        <v>41</v>
      </c>
      <c r="T16" s="133" t="s">
        <v>31</v>
      </c>
      <c r="U16" s="133" t="s">
        <v>30</v>
      </c>
      <c r="V16" s="90"/>
      <c r="W16" s="89" t="s">
        <v>31</v>
      </c>
      <c r="X16" s="90"/>
      <c r="Y16" s="90" t="s">
        <v>31</v>
      </c>
      <c r="Z16" s="115" t="s">
        <v>32</v>
      </c>
      <c r="AA16" s="115" t="s">
        <v>32</v>
      </c>
      <c r="AB16" s="115" t="s">
        <v>32</v>
      </c>
      <c r="AC16" s="90" t="s">
        <v>30</v>
      </c>
      <c r="AD16" s="90"/>
      <c r="AE16" s="90" t="s">
        <v>31</v>
      </c>
      <c r="AF16" s="90" t="s">
        <v>30</v>
      </c>
      <c r="AG16" s="91"/>
      <c r="AH16" s="40">
        <f t="shared" si="0"/>
        <v>4</v>
      </c>
      <c r="AI16" s="27">
        <f t="shared" si="1"/>
        <v>5</v>
      </c>
      <c r="AJ16" s="70">
        <f t="shared" si="2"/>
        <v>7</v>
      </c>
      <c r="AK16" s="92" cm="1">
        <f t="array" ref="AK16">SUM(COUNTIF(D16:AG16,{"NL","P","B","T","SN"}))</f>
        <v>3</v>
      </c>
      <c r="AL16" s="58">
        <f t="shared" si="3"/>
        <v>200</v>
      </c>
    </row>
    <row r="17" spans="1:39" ht="13.5" customHeight="1">
      <c r="A17" s="175" t="s">
        <v>42</v>
      </c>
      <c r="B17" s="28" t="s">
        <v>43</v>
      </c>
      <c r="C17" s="97" t="s">
        <v>44</v>
      </c>
      <c r="D17" s="104" t="s">
        <v>31</v>
      </c>
      <c r="E17" s="74" t="s">
        <v>30</v>
      </c>
      <c r="F17" s="74"/>
      <c r="G17" s="74"/>
      <c r="H17" s="75" t="s">
        <v>31</v>
      </c>
      <c r="I17" s="110" t="s">
        <v>29</v>
      </c>
      <c r="J17" s="74"/>
      <c r="K17" s="75"/>
      <c r="L17" s="75" t="s">
        <v>31</v>
      </c>
      <c r="M17" s="75" t="s">
        <v>30</v>
      </c>
      <c r="N17" s="75"/>
      <c r="O17" s="75"/>
      <c r="P17" s="75" t="s">
        <v>31</v>
      </c>
      <c r="Q17" s="75" t="s">
        <v>30</v>
      </c>
      <c r="R17" s="75" t="s">
        <v>30</v>
      </c>
      <c r="S17" s="75"/>
      <c r="T17" s="75"/>
      <c r="U17" s="75" t="s">
        <v>31</v>
      </c>
      <c r="V17" s="75" t="s">
        <v>30</v>
      </c>
      <c r="W17" s="75"/>
      <c r="X17" s="75"/>
      <c r="Y17" s="75" t="s">
        <v>31</v>
      </c>
      <c r="Z17" s="120" t="s">
        <v>32</v>
      </c>
      <c r="AA17" s="120" t="s">
        <v>32</v>
      </c>
      <c r="AB17" s="120" t="s">
        <v>32</v>
      </c>
      <c r="AC17" s="75" t="s">
        <v>31</v>
      </c>
      <c r="AD17" s="75" t="s">
        <v>30</v>
      </c>
      <c r="AE17" s="75"/>
      <c r="AF17" s="75" t="s">
        <v>31</v>
      </c>
      <c r="AG17" s="121" t="s">
        <v>30</v>
      </c>
      <c r="AH17" s="41">
        <f t="shared" si="0"/>
        <v>0</v>
      </c>
      <c r="AI17" s="16">
        <f t="shared" si="1"/>
        <v>8</v>
      </c>
      <c r="AJ17" s="101">
        <f t="shared" si="2"/>
        <v>7</v>
      </c>
      <c r="AK17" s="59" cm="1">
        <f t="array" ref="AK17">SUM(COUNTIF(D17:AG17,{"NL","P","B","T","SN"}))</f>
        <v>4</v>
      </c>
      <c r="AL17" s="54">
        <f t="shared" si="3"/>
        <v>212</v>
      </c>
      <c r="AM17" s="25"/>
    </row>
    <row r="18" spans="1:39" ht="13.5" customHeight="1">
      <c r="A18" s="176"/>
      <c r="B18" s="95" t="s">
        <v>45</v>
      </c>
      <c r="C18" s="98" t="s">
        <v>46</v>
      </c>
      <c r="D18" s="96" t="s">
        <v>30</v>
      </c>
      <c r="E18" s="78"/>
      <c r="F18" s="76" t="s">
        <v>31</v>
      </c>
      <c r="G18" s="76" t="s">
        <v>30</v>
      </c>
      <c r="H18" s="112" t="s">
        <v>29</v>
      </c>
      <c r="I18" s="72" t="s">
        <v>29</v>
      </c>
      <c r="J18" s="76" t="s">
        <v>31</v>
      </c>
      <c r="K18" s="78" t="s">
        <v>30</v>
      </c>
      <c r="L18" s="78"/>
      <c r="M18" s="78"/>
      <c r="N18" s="78" t="s">
        <v>31</v>
      </c>
      <c r="O18" s="78" t="s">
        <v>30</v>
      </c>
      <c r="P18" s="78"/>
      <c r="Q18" s="112"/>
      <c r="R18" s="72"/>
      <c r="S18" s="78" t="s">
        <v>31</v>
      </c>
      <c r="T18" s="78" t="s">
        <v>31</v>
      </c>
      <c r="U18" s="78"/>
      <c r="V18" s="76"/>
      <c r="W18" s="76"/>
      <c r="X18" s="78" t="s">
        <v>31</v>
      </c>
      <c r="Y18" s="78" t="s">
        <v>30</v>
      </c>
      <c r="Z18" s="114" t="s">
        <v>32</v>
      </c>
      <c r="AA18" s="114" t="s">
        <v>32</v>
      </c>
      <c r="AB18" s="114" t="s">
        <v>32</v>
      </c>
      <c r="AC18" s="78" t="s">
        <v>30</v>
      </c>
      <c r="AD18" s="78"/>
      <c r="AE18" s="78" t="s">
        <v>30</v>
      </c>
      <c r="AF18" s="78"/>
      <c r="AG18" s="100" t="s">
        <v>31</v>
      </c>
      <c r="AH18" s="36">
        <f t="shared" si="0"/>
        <v>0</v>
      </c>
      <c r="AI18" s="2">
        <f t="shared" si="1"/>
        <v>7</v>
      </c>
      <c r="AJ18" s="102">
        <f t="shared" si="2"/>
        <v>7</v>
      </c>
      <c r="AK18" s="60" cm="1">
        <f t="array" ref="AK18">SUM(COUNTIF(D18:AG18,{"NL","P","B","T","SN"}))</f>
        <v>5</v>
      </c>
      <c r="AL18" s="56">
        <f t="shared" si="3"/>
        <v>208</v>
      </c>
      <c r="AM18" s="25"/>
    </row>
    <row r="19" spans="1:39" ht="13.5" customHeight="1">
      <c r="A19" s="176"/>
      <c r="B19" s="95" t="s">
        <v>47</v>
      </c>
      <c r="C19" s="98" t="s">
        <v>48</v>
      </c>
      <c r="D19" s="113" t="s">
        <v>29</v>
      </c>
      <c r="E19" s="76" t="s">
        <v>31</v>
      </c>
      <c r="F19" s="76" t="s">
        <v>30</v>
      </c>
      <c r="G19" s="78"/>
      <c r="H19" s="112" t="s">
        <v>29</v>
      </c>
      <c r="I19" s="76" t="s">
        <v>31</v>
      </c>
      <c r="J19" s="78" t="s">
        <v>30</v>
      </c>
      <c r="K19" s="112"/>
      <c r="L19" s="112"/>
      <c r="M19" s="78" t="s">
        <v>31</v>
      </c>
      <c r="N19" s="78" t="s">
        <v>30</v>
      </c>
      <c r="O19" s="78"/>
      <c r="P19" s="78"/>
      <c r="Q19" s="78" t="s">
        <v>31</v>
      </c>
      <c r="R19" s="78" t="s">
        <v>31</v>
      </c>
      <c r="S19" s="78" t="s">
        <v>30</v>
      </c>
      <c r="T19" s="78"/>
      <c r="U19" s="78"/>
      <c r="V19" s="78" t="s">
        <v>31</v>
      </c>
      <c r="W19" s="78" t="s">
        <v>30</v>
      </c>
      <c r="X19" s="78"/>
      <c r="Y19" s="78"/>
      <c r="Z19" s="78" t="s">
        <v>30</v>
      </c>
      <c r="AA19" s="78" t="s">
        <v>30</v>
      </c>
      <c r="AB19" s="78" t="s">
        <v>30</v>
      </c>
      <c r="AC19" s="78"/>
      <c r="AD19" s="78"/>
      <c r="AE19" s="78" t="s">
        <v>31</v>
      </c>
      <c r="AF19" s="112"/>
      <c r="AG19" s="122" t="s">
        <v>32</v>
      </c>
      <c r="AH19" s="36">
        <f t="shared" si="0"/>
        <v>0</v>
      </c>
      <c r="AI19" s="2">
        <f t="shared" si="1"/>
        <v>7</v>
      </c>
      <c r="AJ19" s="102">
        <f t="shared" si="2"/>
        <v>8</v>
      </c>
      <c r="AK19" s="60" cm="1">
        <f t="array" ref="AK19">SUM(COUNTIF(D19:AG19,{"NL","P","B","T","SN"}))</f>
        <v>3</v>
      </c>
      <c r="AL19" s="56">
        <f t="shared" si="3"/>
        <v>204</v>
      </c>
      <c r="AM19" s="25"/>
    </row>
    <row r="20" spans="1:39" ht="13.5" customHeight="1" thickBot="1">
      <c r="A20" s="177"/>
      <c r="B20" s="149" t="s">
        <v>49</v>
      </c>
      <c r="C20" s="99" t="s">
        <v>50</v>
      </c>
      <c r="D20" s="141" t="s">
        <v>29</v>
      </c>
      <c r="E20" s="89"/>
      <c r="F20" s="89"/>
      <c r="G20" s="89" t="s">
        <v>31</v>
      </c>
      <c r="H20" s="90" t="s">
        <v>30</v>
      </c>
      <c r="I20" s="90" t="s">
        <v>30</v>
      </c>
      <c r="J20" s="89"/>
      <c r="K20" s="90" t="s">
        <v>31</v>
      </c>
      <c r="L20" s="90" t="s">
        <v>30</v>
      </c>
      <c r="M20" s="90"/>
      <c r="N20" s="90"/>
      <c r="O20" s="90" t="s">
        <v>31</v>
      </c>
      <c r="P20" s="90" t="s">
        <v>30</v>
      </c>
      <c r="Q20" s="142"/>
      <c r="R20" s="142"/>
      <c r="S20" s="90"/>
      <c r="T20" s="90" t="s">
        <v>30</v>
      </c>
      <c r="U20" s="90" t="s">
        <v>30</v>
      </c>
      <c r="V20" s="90"/>
      <c r="W20" s="90" t="s">
        <v>31</v>
      </c>
      <c r="X20" s="90" t="s">
        <v>30</v>
      </c>
      <c r="Y20" s="90"/>
      <c r="Z20" s="90" t="s">
        <v>31</v>
      </c>
      <c r="AA20" s="90" t="s">
        <v>31</v>
      </c>
      <c r="AB20" s="90" t="s">
        <v>31</v>
      </c>
      <c r="AC20" s="90"/>
      <c r="AD20" s="90" t="s">
        <v>31</v>
      </c>
      <c r="AE20" s="142"/>
      <c r="AF20" s="90" t="s">
        <v>30</v>
      </c>
      <c r="AG20" s="143" t="s">
        <v>32</v>
      </c>
      <c r="AH20" s="37">
        <f t="shared" si="0"/>
        <v>0</v>
      </c>
      <c r="AI20" s="15">
        <f t="shared" si="1"/>
        <v>8</v>
      </c>
      <c r="AJ20" s="103">
        <f t="shared" si="2"/>
        <v>8</v>
      </c>
      <c r="AK20" s="61" cm="1">
        <f t="array" ref="AK20">SUM(COUNTIF(D20:AG20,{"NL","P","B","T","SN"}))</f>
        <v>2</v>
      </c>
      <c r="AL20" s="57">
        <f>AH20*8+AI20*12+AJ20*12+AK20*8</f>
        <v>208</v>
      </c>
    </row>
    <row r="21" spans="1:39" ht="13.5" customHeight="1">
      <c r="A21" s="175" t="s">
        <v>51</v>
      </c>
      <c r="B21" s="20" t="s">
        <v>52</v>
      </c>
      <c r="C21" s="146" t="s">
        <v>53</v>
      </c>
      <c r="D21" s="134"/>
      <c r="E21" s="75"/>
      <c r="F21" s="145" t="s">
        <v>41</v>
      </c>
      <c r="G21" s="145" t="s">
        <v>41</v>
      </c>
      <c r="H21" s="73" t="s">
        <v>29</v>
      </c>
      <c r="I21" s="110" t="s">
        <v>29</v>
      </c>
      <c r="J21" s="145" t="s">
        <v>41</v>
      </c>
      <c r="K21" s="75"/>
      <c r="L21" s="145" t="s">
        <v>41</v>
      </c>
      <c r="M21" s="145" t="s">
        <v>41</v>
      </c>
      <c r="N21" s="145" t="s">
        <v>41</v>
      </c>
      <c r="O21" s="145" t="s">
        <v>41</v>
      </c>
      <c r="P21" s="145" t="s">
        <v>41</v>
      </c>
      <c r="Q21" s="145" t="s">
        <v>41</v>
      </c>
      <c r="R21" s="75"/>
      <c r="S21" s="75"/>
      <c r="T21" s="75"/>
      <c r="U21" s="75" t="s">
        <v>31</v>
      </c>
      <c r="V21" s="75" t="s">
        <v>30</v>
      </c>
      <c r="W21" s="75"/>
      <c r="X21" s="75" t="s">
        <v>31</v>
      </c>
      <c r="Y21" s="75" t="s">
        <v>31</v>
      </c>
      <c r="Z21" s="75" t="s">
        <v>30</v>
      </c>
      <c r="AA21" s="75"/>
      <c r="AB21" s="75"/>
      <c r="AC21" s="75"/>
      <c r="AD21" s="75" t="s">
        <v>30</v>
      </c>
      <c r="AE21" s="75"/>
      <c r="AF21" s="75" t="s">
        <v>31</v>
      </c>
      <c r="AG21" s="135" t="s">
        <v>30</v>
      </c>
      <c r="AH21" s="138">
        <f t="shared" ref="AH21:AH25" si="4">COUNTIF(D21:AG21,"HC")</f>
        <v>9</v>
      </c>
      <c r="AI21" s="16">
        <f t="shared" ref="AI21:AI25" si="5">COUNTIF(D21:AG21,"M")</f>
        <v>4</v>
      </c>
      <c r="AJ21" s="101">
        <f t="shared" ref="AJ21:AJ25" si="6">COUNTIF(D21:AG21,"E")</f>
        <v>4</v>
      </c>
      <c r="AK21" s="59" cm="1">
        <f t="array" ref="AK21">SUM(COUNTIF(D21:AG21,{"NL","P","B","T","SN"}))</f>
        <v>2</v>
      </c>
      <c r="AL21" s="54">
        <f t="shared" ref="AL21:AL24" si="7">AH21*8+AI21*12+AJ21*12+AK21*8</f>
        <v>184</v>
      </c>
      <c r="AM21" s="25"/>
    </row>
    <row r="22" spans="1:39" ht="13.5" customHeight="1">
      <c r="A22" s="176"/>
      <c r="B22" s="21" t="s">
        <v>54</v>
      </c>
      <c r="C22" s="147" t="s">
        <v>55</v>
      </c>
      <c r="D22" s="77"/>
      <c r="E22" s="78"/>
      <c r="F22" s="144" t="s">
        <v>41</v>
      </c>
      <c r="G22" s="144" t="s">
        <v>41</v>
      </c>
      <c r="H22" s="112" t="s">
        <v>29</v>
      </c>
      <c r="I22" s="72" t="s">
        <v>29</v>
      </c>
      <c r="J22" s="144" t="s">
        <v>41</v>
      </c>
      <c r="K22" s="78"/>
      <c r="L22" s="144" t="s">
        <v>41</v>
      </c>
      <c r="M22" s="144" t="s">
        <v>41</v>
      </c>
      <c r="N22" s="144" t="s">
        <v>41</v>
      </c>
      <c r="O22" s="144" t="s">
        <v>41</v>
      </c>
      <c r="P22" s="144" t="s">
        <v>41</v>
      </c>
      <c r="Q22" s="144" t="s">
        <v>41</v>
      </c>
      <c r="R22" s="78"/>
      <c r="S22" s="76" t="s">
        <v>31</v>
      </c>
      <c r="T22" s="76"/>
      <c r="U22" s="76" t="s">
        <v>31</v>
      </c>
      <c r="V22" s="76"/>
      <c r="W22" s="76" t="s">
        <v>30</v>
      </c>
      <c r="X22" s="78"/>
      <c r="Y22" s="78" t="s">
        <v>31</v>
      </c>
      <c r="Z22" s="78"/>
      <c r="AA22" s="78" t="s">
        <v>31</v>
      </c>
      <c r="AB22" s="78" t="s">
        <v>30</v>
      </c>
      <c r="AC22" s="78"/>
      <c r="AD22" s="78" t="s">
        <v>31</v>
      </c>
      <c r="AE22" s="78" t="s">
        <v>30</v>
      </c>
      <c r="AF22" s="78"/>
      <c r="AG22" s="79"/>
      <c r="AH22" s="139">
        <f t="shared" si="4"/>
        <v>9</v>
      </c>
      <c r="AI22" s="2">
        <f t="shared" si="5"/>
        <v>5</v>
      </c>
      <c r="AJ22" s="102">
        <f t="shared" si="6"/>
        <v>3</v>
      </c>
      <c r="AK22" s="60" cm="1">
        <f t="array" ref="AK22">SUM(COUNTIF(D22:AG22,{"NL","P","B","T","SN"}))</f>
        <v>2</v>
      </c>
      <c r="AL22" s="56">
        <f t="shared" si="7"/>
        <v>184</v>
      </c>
      <c r="AM22" s="25"/>
    </row>
    <row r="23" spans="1:39" ht="13.5" customHeight="1">
      <c r="A23" s="176"/>
      <c r="B23" s="21" t="s">
        <v>56</v>
      </c>
      <c r="C23" s="147" t="s">
        <v>57</v>
      </c>
      <c r="D23" s="77"/>
      <c r="E23" s="78"/>
      <c r="F23" s="144" t="s">
        <v>41</v>
      </c>
      <c r="G23" s="144" t="s">
        <v>41</v>
      </c>
      <c r="H23" s="112" t="s">
        <v>29</v>
      </c>
      <c r="I23" s="72" t="s">
        <v>29</v>
      </c>
      <c r="J23" s="144" t="s">
        <v>41</v>
      </c>
      <c r="K23" s="78"/>
      <c r="L23" s="144" t="s">
        <v>41</v>
      </c>
      <c r="M23" s="144" t="s">
        <v>41</v>
      </c>
      <c r="N23" s="144" t="s">
        <v>41</v>
      </c>
      <c r="O23" s="144" t="s">
        <v>41</v>
      </c>
      <c r="P23" s="144" t="s">
        <v>41</v>
      </c>
      <c r="Q23" s="144" t="s">
        <v>41</v>
      </c>
      <c r="R23" s="78"/>
      <c r="S23" s="76"/>
      <c r="T23" s="76" t="s">
        <v>31</v>
      </c>
      <c r="U23" s="76"/>
      <c r="V23" s="76" t="s">
        <v>31</v>
      </c>
      <c r="W23" s="78"/>
      <c r="X23" s="78" t="s">
        <v>30</v>
      </c>
      <c r="Y23" s="112"/>
      <c r="Z23" s="78" t="s">
        <v>31</v>
      </c>
      <c r="AA23" s="78" t="s">
        <v>31</v>
      </c>
      <c r="AB23" s="78" t="s">
        <v>31</v>
      </c>
      <c r="AC23" s="78"/>
      <c r="AD23" s="78" t="s">
        <v>30</v>
      </c>
      <c r="AE23" s="78"/>
      <c r="AF23" s="78" t="s">
        <v>30</v>
      </c>
      <c r="AG23" s="79"/>
      <c r="AH23" s="139">
        <f t="shared" ref="AH23" si="8">COUNTIF(D23:AG23,"HC")</f>
        <v>9</v>
      </c>
      <c r="AI23" s="2">
        <f t="shared" ref="AI23" si="9">COUNTIF(D23:AG23,"M")</f>
        <v>5</v>
      </c>
      <c r="AJ23" s="102">
        <f t="shared" ref="AJ23" si="10">COUNTIF(D23:AG23,"E")</f>
        <v>3</v>
      </c>
      <c r="AK23" s="60" cm="1">
        <f t="array" ref="AK23">SUM(COUNTIF(D23:AG23,{"NL","P","B","T","SN"}))</f>
        <v>2</v>
      </c>
      <c r="AL23" s="56">
        <f t="shared" ref="AL23" si="11">AH23*8+AI23*12+AJ23*12+AK23*8</f>
        <v>184</v>
      </c>
      <c r="AM23" s="25"/>
    </row>
    <row r="24" spans="1:39" ht="13.5" customHeight="1">
      <c r="A24" s="176"/>
      <c r="B24" s="21" t="s">
        <v>58</v>
      </c>
      <c r="C24" s="147" t="s">
        <v>59</v>
      </c>
      <c r="D24" s="77"/>
      <c r="E24" s="76"/>
      <c r="F24" s="144" t="s">
        <v>41</v>
      </c>
      <c r="G24" s="144" t="s">
        <v>41</v>
      </c>
      <c r="H24" s="112" t="s">
        <v>29</v>
      </c>
      <c r="I24" s="72" t="s">
        <v>29</v>
      </c>
      <c r="J24" s="144" t="s">
        <v>41</v>
      </c>
      <c r="K24" s="78"/>
      <c r="L24" s="144" t="s">
        <v>41</v>
      </c>
      <c r="M24" s="144" t="s">
        <v>41</v>
      </c>
      <c r="N24" s="144" t="s">
        <v>41</v>
      </c>
      <c r="O24" s="144" t="s">
        <v>41</v>
      </c>
      <c r="P24" s="144" t="s">
        <v>41</v>
      </c>
      <c r="Q24" s="144" t="s">
        <v>41</v>
      </c>
      <c r="R24" s="78"/>
      <c r="S24" s="76"/>
      <c r="T24" s="76" t="s">
        <v>30</v>
      </c>
      <c r="U24" s="76"/>
      <c r="V24" s="76"/>
      <c r="W24" s="76" t="s">
        <v>31</v>
      </c>
      <c r="X24" s="78" t="s">
        <v>31</v>
      </c>
      <c r="Y24" s="78" t="s">
        <v>30</v>
      </c>
      <c r="Z24" s="76"/>
      <c r="AA24" s="78" t="s">
        <v>30</v>
      </c>
      <c r="AB24" s="76"/>
      <c r="AC24" s="78" t="s">
        <v>30</v>
      </c>
      <c r="AD24" s="78"/>
      <c r="AE24" s="78"/>
      <c r="AF24" s="78" t="s">
        <v>31</v>
      </c>
      <c r="AG24" s="79" t="s">
        <v>30</v>
      </c>
      <c r="AH24" s="139">
        <f t="shared" si="4"/>
        <v>9</v>
      </c>
      <c r="AI24" s="2">
        <f t="shared" si="5"/>
        <v>3</v>
      </c>
      <c r="AJ24" s="102">
        <f t="shared" si="6"/>
        <v>5</v>
      </c>
      <c r="AK24" s="60" cm="1">
        <f t="array" ref="AK24">SUM(COUNTIF(D24:AG24,{"NL","P","B","T","SN"}))</f>
        <v>2</v>
      </c>
      <c r="AL24" s="56">
        <f t="shared" si="7"/>
        <v>184</v>
      </c>
      <c r="AM24" s="25"/>
    </row>
    <row r="25" spans="1:39" ht="13.5" customHeight="1" thickBot="1">
      <c r="A25" s="177"/>
      <c r="B25" s="150" t="s">
        <v>60</v>
      </c>
      <c r="C25" s="148" t="s">
        <v>61</v>
      </c>
      <c r="D25" s="80"/>
      <c r="E25" s="81"/>
      <c r="F25" s="136" t="s">
        <v>41</v>
      </c>
      <c r="G25" s="136" t="s">
        <v>41</v>
      </c>
      <c r="H25" s="111" t="s">
        <v>29</v>
      </c>
      <c r="I25" s="132" t="s">
        <v>29</v>
      </c>
      <c r="J25" s="136" t="s">
        <v>41</v>
      </c>
      <c r="K25" s="82"/>
      <c r="L25" s="136" t="s">
        <v>41</v>
      </c>
      <c r="M25" s="136" t="s">
        <v>41</v>
      </c>
      <c r="N25" s="136" t="s">
        <v>41</v>
      </c>
      <c r="O25" s="136" t="s">
        <v>41</v>
      </c>
      <c r="P25" s="136" t="s">
        <v>41</v>
      </c>
      <c r="Q25" s="136" t="s">
        <v>41</v>
      </c>
      <c r="R25" s="82"/>
      <c r="S25" s="82" t="s">
        <v>30</v>
      </c>
      <c r="T25" s="82"/>
      <c r="U25" s="82" t="s">
        <v>31</v>
      </c>
      <c r="V25" s="82"/>
      <c r="W25" s="82" t="s">
        <v>30</v>
      </c>
      <c r="X25" s="82"/>
      <c r="Y25" s="82"/>
      <c r="Z25" s="82" t="s">
        <v>31</v>
      </c>
      <c r="AA25" s="82" t="s">
        <v>30</v>
      </c>
      <c r="AB25" s="82"/>
      <c r="AC25" s="82" t="s">
        <v>31</v>
      </c>
      <c r="AD25" s="82"/>
      <c r="AE25" s="82" t="s">
        <v>31</v>
      </c>
      <c r="AF25" s="82"/>
      <c r="AG25" s="137" t="s">
        <v>31</v>
      </c>
      <c r="AH25" s="140">
        <f t="shared" si="4"/>
        <v>9</v>
      </c>
      <c r="AI25" s="15">
        <f t="shared" si="5"/>
        <v>5</v>
      </c>
      <c r="AJ25" s="103">
        <f t="shared" si="6"/>
        <v>3</v>
      </c>
      <c r="AK25" s="61" cm="1">
        <f t="array" ref="AK25">SUM(COUNTIF(D25:AG25,{"NL","P","B","T","SN"}))</f>
        <v>2</v>
      </c>
      <c r="AL25" s="57">
        <f>AH25*8+AI25*12+AJ25*12+AK25*8</f>
        <v>184</v>
      </c>
    </row>
    <row r="26" spans="1:39" ht="13.5" customHeight="1">
      <c r="A26" s="178" t="s">
        <v>62</v>
      </c>
      <c r="B26" s="19" t="s">
        <v>63</v>
      </c>
      <c r="C26" s="31" t="s">
        <v>64</v>
      </c>
      <c r="D26" s="128" t="s">
        <v>29</v>
      </c>
      <c r="E26" s="94" t="s">
        <v>30</v>
      </c>
      <c r="F26" s="94"/>
      <c r="G26" s="94" t="s">
        <v>31</v>
      </c>
      <c r="H26" s="94" t="s">
        <v>31</v>
      </c>
      <c r="I26" s="94" t="s">
        <v>31</v>
      </c>
      <c r="J26" s="94"/>
      <c r="K26" s="94"/>
      <c r="L26" s="94"/>
      <c r="M26" s="94" t="s">
        <v>30</v>
      </c>
      <c r="N26" s="94"/>
      <c r="O26" s="94" t="s">
        <v>31</v>
      </c>
      <c r="P26" s="94" t="s">
        <v>30</v>
      </c>
      <c r="Q26" s="129"/>
      <c r="R26" s="129"/>
      <c r="S26" s="129" t="s">
        <v>31</v>
      </c>
      <c r="T26" s="129" t="s">
        <v>30</v>
      </c>
      <c r="U26" s="129"/>
      <c r="V26" s="129" t="s">
        <v>30</v>
      </c>
      <c r="W26" s="129"/>
      <c r="X26" s="129" t="s">
        <v>31</v>
      </c>
      <c r="Y26" s="129" t="s">
        <v>31</v>
      </c>
      <c r="Z26" s="116" t="s">
        <v>32</v>
      </c>
      <c r="AA26" s="116" t="s">
        <v>32</v>
      </c>
      <c r="AB26" s="116" t="s">
        <v>32</v>
      </c>
      <c r="AC26" s="129" t="s">
        <v>31</v>
      </c>
      <c r="AD26" s="129"/>
      <c r="AE26" s="129" t="s">
        <v>30</v>
      </c>
      <c r="AF26" s="129"/>
      <c r="AG26" s="130" t="s">
        <v>31</v>
      </c>
      <c r="AH26" s="62">
        <f t="shared" si="0"/>
        <v>0</v>
      </c>
      <c r="AI26" s="63">
        <f t="shared" si="1"/>
        <v>9</v>
      </c>
      <c r="AJ26" s="69">
        <f t="shared" si="2"/>
        <v>6</v>
      </c>
      <c r="AK26" s="64" cm="1">
        <f t="array" ref="AK26">SUM(COUNTIF(D26:AG26,{"NL","P","B","T","SN"}))</f>
        <v>4</v>
      </c>
      <c r="AL26" s="65">
        <f t="shared" si="3"/>
        <v>212</v>
      </c>
      <c r="AM26" s="25"/>
    </row>
    <row r="27" spans="1:39">
      <c r="A27" s="179"/>
      <c r="B27" s="18" t="s">
        <v>65</v>
      </c>
      <c r="C27" s="17" t="s">
        <v>66</v>
      </c>
      <c r="D27" s="77" t="s">
        <v>31</v>
      </c>
      <c r="E27" s="76"/>
      <c r="F27" s="76" t="s">
        <v>30</v>
      </c>
      <c r="G27" s="76"/>
      <c r="H27" s="72" t="s">
        <v>29</v>
      </c>
      <c r="I27" s="76" t="s">
        <v>30</v>
      </c>
      <c r="J27" s="76" t="s">
        <v>30</v>
      </c>
      <c r="K27" s="76"/>
      <c r="L27" s="76" t="s">
        <v>31</v>
      </c>
      <c r="M27" s="76"/>
      <c r="N27" s="76" t="s">
        <v>30</v>
      </c>
      <c r="O27" s="76"/>
      <c r="P27" s="76"/>
      <c r="Q27" s="78" t="s">
        <v>31</v>
      </c>
      <c r="R27" s="78" t="s">
        <v>30</v>
      </c>
      <c r="S27" s="78"/>
      <c r="T27" s="78" t="s">
        <v>31</v>
      </c>
      <c r="U27" s="78" t="s">
        <v>31</v>
      </c>
      <c r="V27" s="78"/>
      <c r="W27" s="78" t="s">
        <v>31</v>
      </c>
      <c r="X27" s="78" t="s">
        <v>30</v>
      </c>
      <c r="Y27" s="78"/>
      <c r="Z27" s="114" t="s">
        <v>32</v>
      </c>
      <c r="AA27" s="114" t="s">
        <v>32</v>
      </c>
      <c r="AB27" s="114" t="s">
        <v>32</v>
      </c>
      <c r="AC27" s="78"/>
      <c r="AD27" s="78" t="s">
        <v>30</v>
      </c>
      <c r="AE27" s="78"/>
      <c r="AF27" s="78" t="s">
        <v>30</v>
      </c>
      <c r="AG27" s="79" t="s">
        <v>30</v>
      </c>
      <c r="AH27" s="36">
        <f t="shared" si="0"/>
        <v>0</v>
      </c>
      <c r="AI27" s="2">
        <f t="shared" si="1"/>
        <v>6</v>
      </c>
      <c r="AJ27" s="67">
        <f t="shared" si="2"/>
        <v>9</v>
      </c>
      <c r="AK27" s="60" cm="1">
        <f t="array" ref="AK27">SUM(COUNTIF(D27:AG27,{"NL","P","B","T","SN"}))</f>
        <v>4</v>
      </c>
      <c r="AL27" s="56">
        <f t="shared" si="3"/>
        <v>212</v>
      </c>
    </row>
    <row r="28" spans="1:39">
      <c r="A28" s="179"/>
      <c r="B28" s="18" t="s">
        <v>67</v>
      </c>
      <c r="C28" s="17" t="s">
        <v>68</v>
      </c>
      <c r="D28" s="77" t="s">
        <v>30</v>
      </c>
      <c r="E28" s="76"/>
      <c r="F28" s="76" t="s">
        <v>31</v>
      </c>
      <c r="G28" s="76" t="s">
        <v>30</v>
      </c>
      <c r="H28" s="72" t="s">
        <v>29</v>
      </c>
      <c r="I28" s="72" t="s">
        <v>29</v>
      </c>
      <c r="J28" s="76" t="s">
        <v>31</v>
      </c>
      <c r="K28" s="76" t="s">
        <v>31</v>
      </c>
      <c r="L28" s="76"/>
      <c r="M28" s="76" t="s">
        <v>31</v>
      </c>
      <c r="N28" s="76"/>
      <c r="O28" s="76"/>
      <c r="P28" s="76" t="s">
        <v>31</v>
      </c>
      <c r="Q28" s="76" t="s">
        <v>30</v>
      </c>
      <c r="R28" s="76"/>
      <c r="S28" s="76"/>
      <c r="T28" s="76"/>
      <c r="U28" s="76" t="s">
        <v>30</v>
      </c>
      <c r="V28" s="76"/>
      <c r="W28" s="76"/>
      <c r="X28" s="78"/>
      <c r="Y28" s="78" t="s">
        <v>30</v>
      </c>
      <c r="Z28" s="78" t="s">
        <v>30</v>
      </c>
      <c r="AA28" s="78" t="s">
        <v>30</v>
      </c>
      <c r="AB28" s="78" t="s">
        <v>30</v>
      </c>
      <c r="AC28" s="78"/>
      <c r="AD28" s="78" t="s">
        <v>31</v>
      </c>
      <c r="AE28" s="78" t="s">
        <v>31</v>
      </c>
      <c r="AF28" s="78"/>
      <c r="AG28" s="118" t="s">
        <v>32</v>
      </c>
      <c r="AH28" s="36">
        <f t="shared" si="0"/>
        <v>0</v>
      </c>
      <c r="AI28" s="2">
        <f t="shared" si="1"/>
        <v>7</v>
      </c>
      <c r="AJ28" s="67">
        <f t="shared" si="2"/>
        <v>8</v>
      </c>
      <c r="AK28" s="60" cm="1">
        <f t="array" ref="AK28">SUM(COUNTIF(D28:AG28,{"NL","P","B","T","SN"}))</f>
        <v>3</v>
      </c>
      <c r="AL28" s="56">
        <f t="shared" si="3"/>
        <v>204</v>
      </c>
    </row>
    <row r="29" spans="1:39" ht="15.75" thickBot="1">
      <c r="A29" s="180"/>
      <c r="B29" s="125" t="s">
        <v>69</v>
      </c>
      <c r="C29" s="32" t="s">
        <v>70</v>
      </c>
      <c r="D29" s="131" t="s">
        <v>29</v>
      </c>
      <c r="E29" s="81" t="s">
        <v>31</v>
      </c>
      <c r="F29" s="81"/>
      <c r="G29" s="81"/>
      <c r="H29" s="81" t="s">
        <v>30</v>
      </c>
      <c r="I29" s="132" t="s">
        <v>29</v>
      </c>
      <c r="J29" s="81"/>
      <c r="K29" s="81" t="s">
        <v>30</v>
      </c>
      <c r="L29" s="81" t="s">
        <v>30</v>
      </c>
      <c r="M29" s="81"/>
      <c r="N29" s="81" t="s">
        <v>31</v>
      </c>
      <c r="O29" s="81" t="s">
        <v>30</v>
      </c>
      <c r="P29" s="81"/>
      <c r="Q29" s="81"/>
      <c r="R29" s="81" t="s">
        <v>31</v>
      </c>
      <c r="S29" s="81" t="s">
        <v>30</v>
      </c>
      <c r="T29" s="81"/>
      <c r="U29" s="81"/>
      <c r="V29" s="81" t="s">
        <v>31</v>
      </c>
      <c r="W29" s="81" t="s">
        <v>30</v>
      </c>
      <c r="X29" s="82"/>
      <c r="Y29" s="82"/>
      <c r="Z29" s="82" t="s">
        <v>31</v>
      </c>
      <c r="AA29" s="82" t="s">
        <v>31</v>
      </c>
      <c r="AB29" s="82" t="s">
        <v>31</v>
      </c>
      <c r="AC29" s="82" t="s">
        <v>30</v>
      </c>
      <c r="AD29" s="82"/>
      <c r="AE29" s="82"/>
      <c r="AF29" s="82" t="s">
        <v>31</v>
      </c>
      <c r="AG29" s="119" t="s">
        <v>32</v>
      </c>
      <c r="AH29" s="37">
        <f t="shared" si="0"/>
        <v>0</v>
      </c>
      <c r="AI29" s="15">
        <f t="shared" si="1"/>
        <v>8</v>
      </c>
      <c r="AJ29" s="68">
        <f t="shared" si="2"/>
        <v>7</v>
      </c>
      <c r="AK29" s="61" cm="1">
        <f t="array" ref="AK29">SUM(COUNTIF(D29:AG29,{"NL","P","B","T","SN"}))</f>
        <v>3</v>
      </c>
      <c r="AL29" s="57">
        <f t="shared" si="3"/>
        <v>204</v>
      </c>
      <c r="AM29" s="25"/>
    </row>
    <row r="30" spans="1:39" hidden="1">
      <c r="A30" s="176" t="s">
        <v>71</v>
      </c>
      <c r="B30" s="123" t="s">
        <v>72</v>
      </c>
      <c r="C30" s="31" t="s">
        <v>73</v>
      </c>
      <c r="D30" s="93"/>
      <c r="E30" s="94" t="s">
        <v>29</v>
      </c>
      <c r="F30" s="94" t="s">
        <v>41</v>
      </c>
      <c r="G30" s="94" t="s">
        <v>41</v>
      </c>
      <c r="H30" s="94" t="s">
        <v>29</v>
      </c>
      <c r="I30" s="94" t="s">
        <v>29</v>
      </c>
      <c r="J30" s="94" t="s">
        <v>41</v>
      </c>
      <c r="K30" s="94"/>
      <c r="L30" s="94" t="s">
        <v>41</v>
      </c>
      <c r="M30" s="94" t="s">
        <v>41</v>
      </c>
      <c r="N30" s="94" t="s">
        <v>41</v>
      </c>
      <c r="O30" s="94" t="s">
        <v>41</v>
      </c>
      <c r="P30" s="94" t="s">
        <v>41</v>
      </c>
      <c r="Q30" s="94" t="s">
        <v>41</v>
      </c>
      <c r="R30" s="94"/>
      <c r="S30" s="94" t="s">
        <v>41</v>
      </c>
      <c r="T30" s="94" t="s">
        <v>41</v>
      </c>
      <c r="U30" s="94" t="s">
        <v>41</v>
      </c>
      <c r="V30" s="94" t="s">
        <v>41</v>
      </c>
      <c r="W30" s="94" t="s">
        <v>41</v>
      </c>
      <c r="X30" s="94" t="s">
        <v>41</v>
      </c>
      <c r="Y30" s="94"/>
      <c r="Z30" s="94" t="s">
        <v>41</v>
      </c>
      <c r="AA30" s="94" t="s">
        <v>41</v>
      </c>
      <c r="AB30" s="94" t="s">
        <v>41</v>
      </c>
      <c r="AC30" s="94" t="s">
        <v>41</v>
      </c>
      <c r="AD30" s="94" t="s">
        <v>41</v>
      </c>
      <c r="AE30" s="94" t="s">
        <v>41</v>
      </c>
      <c r="AF30" s="94"/>
      <c r="AG30" s="124" t="s">
        <v>41</v>
      </c>
      <c r="AH30" s="62">
        <f t="shared" si="0"/>
        <v>22</v>
      </c>
      <c r="AI30" s="63">
        <f t="shared" si="1"/>
        <v>0</v>
      </c>
      <c r="AJ30" s="69">
        <f t="shared" si="2"/>
        <v>0</v>
      </c>
      <c r="AK30" s="64" cm="1">
        <f t="array" ref="AK30">SUM(COUNTIF(D30:AG30,{"NL","P","B","T","SN"}))</f>
        <v>3</v>
      </c>
      <c r="AL30" s="65">
        <f t="shared" si="3"/>
        <v>200</v>
      </c>
    </row>
    <row r="31" spans="1:39" ht="15.75" hidden="1" thickBot="1">
      <c r="A31" s="181"/>
      <c r="B31" s="29" t="s">
        <v>74</v>
      </c>
      <c r="C31" s="32" t="s">
        <v>75</v>
      </c>
      <c r="D31" s="80"/>
      <c r="E31" s="81" t="s">
        <v>29</v>
      </c>
      <c r="F31" s="81" t="s">
        <v>41</v>
      </c>
      <c r="G31" s="81" t="s">
        <v>41</v>
      </c>
      <c r="H31" s="81" t="s">
        <v>29</v>
      </c>
      <c r="I31" s="81" t="s">
        <v>29</v>
      </c>
      <c r="J31" s="81" t="s">
        <v>41</v>
      </c>
      <c r="K31" s="81"/>
      <c r="L31" s="81" t="s">
        <v>41</v>
      </c>
      <c r="M31" s="81" t="s">
        <v>41</v>
      </c>
      <c r="N31" s="81" t="s">
        <v>41</v>
      </c>
      <c r="O31" s="81" t="s">
        <v>41</v>
      </c>
      <c r="P31" s="81" t="s">
        <v>41</v>
      </c>
      <c r="Q31" s="81" t="s">
        <v>41</v>
      </c>
      <c r="R31" s="81"/>
      <c r="S31" s="81" t="s">
        <v>41</v>
      </c>
      <c r="T31" s="81" t="s">
        <v>41</v>
      </c>
      <c r="U31" s="81" t="s">
        <v>41</v>
      </c>
      <c r="V31" s="81" t="s">
        <v>41</v>
      </c>
      <c r="W31" s="81" t="s">
        <v>41</v>
      </c>
      <c r="X31" s="81" t="s">
        <v>41</v>
      </c>
      <c r="Y31" s="81"/>
      <c r="Z31" s="81" t="s">
        <v>41</v>
      </c>
      <c r="AA31" s="81" t="s">
        <v>41</v>
      </c>
      <c r="AB31" s="81" t="s">
        <v>41</v>
      </c>
      <c r="AC31" s="81" t="s">
        <v>41</v>
      </c>
      <c r="AD31" s="81" t="s">
        <v>41</v>
      </c>
      <c r="AE31" s="81" t="s">
        <v>41</v>
      </c>
      <c r="AF31" s="81"/>
      <c r="AG31" s="83" t="s">
        <v>41</v>
      </c>
      <c r="AH31" s="37">
        <f t="shared" si="0"/>
        <v>22</v>
      </c>
      <c r="AI31" s="15">
        <f t="shared" si="1"/>
        <v>0</v>
      </c>
      <c r="AJ31" s="68">
        <f t="shared" si="2"/>
        <v>0</v>
      </c>
      <c r="AK31" s="61" cm="1">
        <f t="array" ref="AK31">SUM(COUNTIF(D31:AG31,{"NL","P","B","T","SN"}))</f>
        <v>3</v>
      </c>
      <c r="AL31" s="57">
        <f t="shared" si="3"/>
        <v>200</v>
      </c>
    </row>
    <row r="32" spans="1:39">
      <c r="C32" s="14" t="s">
        <v>41</v>
      </c>
      <c r="D32">
        <f t="shared" ref="D32:AG32" si="12">COUNTIF(D12:D29,"HC")</f>
        <v>0</v>
      </c>
      <c r="E32">
        <f t="shared" si="12"/>
        <v>0</v>
      </c>
      <c r="F32">
        <f t="shared" si="12"/>
        <v>5</v>
      </c>
      <c r="G32">
        <f t="shared" si="12"/>
        <v>5</v>
      </c>
      <c r="H32">
        <f t="shared" si="12"/>
        <v>0</v>
      </c>
      <c r="I32">
        <f t="shared" si="12"/>
        <v>0</v>
      </c>
      <c r="J32">
        <f t="shared" si="12"/>
        <v>5</v>
      </c>
      <c r="K32">
        <f t="shared" si="12"/>
        <v>0</v>
      </c>
      <c r="L32">
        <f t="shared" si="12"/>
        <v>5</v>
      </c>
      <c r="M32">
        <f t="shared" si="12"/>
        <v>5</v>
      </c>
      <c r="N32">
        <f t="shared" si="12"/>
        <v>6</v>
      </c>
      <c r="O32">
        <f t="shared" si="12"/>
        <v>6</v>
      </c>
      <c r="P32">
        <f t="shared" si="12"/>
        <v>6</v>
      </c>
      <c r="Q32">
        <f t="shared" si="12"/>
        <v>5</v>
      </c>
      <c r="R32">
        <f t="shared" si="12"/>
        <v>0</v>
      </c>
      <c r="S32">
        <f t="shared" si="12"/>
        <v>1</v>
      </c>
      <c r="T32">
        <f t="shared" si="12"/>
        <v>0</v>
      </c>
      <c r="U32">
        <f t="shared" si="12"/>
        <v>0</v>
      </c>
      <c r="V32">
        <f t="shared" si="12"/>
        <v>0</v>
      </c>
      <c r="W32">
        <f t="shared" si="12"/>
        <v>0</v>
      </c>
      <c r="X32">
        <f t="shared" si="12"/>
        <v>0</v>
      </c>
      <c r="Y32">
        <f t="shared" si="12"/>
        <v>0</v>
      </c>
      <c r="Z32">
        <f t="shared" si="12"/>
        <v>0</v>
      </c>
      <c r="AA32">
        <f t="shared" si="12"/>
        <v>0</v>
      </c>
      <c r="AB32">
        <f t="shared" si="12"/>
        <v>0</v>
      </c>
      <c r="AC32">
        <f t="shared" si="12"/>
        <v>0</v>
      </c>
      <c r="AD32">
        <f t="shared" si="12"/>
        <v>0</v>
      </c>
      <c r="AE32">
        <f t="shared" si="12"/>
        <v>0</v>
      </c>
      <c r="AF32">
        <f t="shared" si="12"/>
        <v>0</v>
      </c>
      <c r="AG32">
        <f t="shared" si="12"/>
        <v>0</v>
      </c>
    </row>
    <row r="33" spans="1:40">
      <c r="C33" s="14" t="s">
        <v>31</v>
      </c>
      <c r="D33">
        <f t="shared" ref="D33:AG33" si="13">COUNTIF(D12:D29,"M")</f>
        <v>3</v>
      </c>
      <c r="E33">
        <f t="shared" si="13"/>
        <v>3</v>
      </c>
      <c r="F33">
        <f t="shared" si="13"/>
        <v>4</v>
      </c>
      <c r="G33">
        <f t="shared" si="13"/>
        <v>3</v>
      </c>
      <c r="H33">
        <f t="shared" si="13"/>
        <v>3</v>
      </c>
      <c r="I33">
        <f t="shared" si="13"/>
        <v>3</v>
      </c>
      <c r="J33">
        <f t="shared" si="13"/>
        <v>3</v>
      </c>
      <c r="K33">
        <f t="shared" si="13"/>
        <v>3</v>
      </c>
      <c r="L33">
        <f t="shared" si="13"/>
        <v>3</v>
      </c>
      <c r="M33">
        <f t="shared" si="13"/>
        <v>3</v>
      </c>
      <c r="N33">
        <f t="shared" si="13"/>
        <v>3</v>
      </c>
      <c r="O33">
        <f t="shared" si="13"/>
        <v>3</v>
      </c>
      <c r="P33">
        <f t="shared" si="13"/>
        <v>3</v>
      </c>
      <c r="Q33">
        <f t="shared" si="13"/>
        <v>3</v>
      </c>
      <c r="R33">
        <f t="shared" si="13"/>
        <v>3</v>
      </c>
      <c r="S33">
        <f t="shared" si="13"/>
        <v>4</v>
      </c>
      <c r="T33">
        <f t="shared" si="13"/>
        <v>5</v>
      </c>
      <c r="U33">
        <f t="shared" si="13"/>
        <v>6</v>
      </c>
      <c r="V33">
        <f t="shared" si="13"/>
        <v>4</v>
      </c>
      <c r="W33">
        <f t="shared" si="13"/>
        <v>5</v>
      </c>
      <c r="X33">
        <f t="shared" si="13"/>
        <v>5</v>
      </c>
      <c r="Y33">
        <f t="shared" si="13"/>
        <v>5</v>
      </c>
      <c r="Z33">
        <f t="shared" si="13"/>
        <v>5</v>
      </c>
      <c r="AA33">
        <f t="shared" si="13"/>
        <v>5</v>
      </c>
      <c r="AB33">
        <f t="shared" si="13"/>
        <v>4</v>
      </c>
      <c r="AC33">
        <f t="shared" si="13"/>
        <v>4</v>
      </c>
      <c r="AD33">
        <f t="shared" si="13"/>
        <v>5</v>
      </c>
      <c r="AE33">
        <f t="shared" si="13"/>
        <v>4</v>
      </c>
      <c r="AF33">
        <f t="shared" si="13"/>
        <v>5</v>
      </c>
      <c r="AG33">
        <f t="shared" si="13"/>
        <v>4</v>
      </c>
    </row>
    <row r="34" spans="1:40">
      <c r="C34" s="14" t="s">
        <v>30</v>
      </c>
      <c r="D34">
        <f t="shared" ref="D34:I34" si="14">COUNTIF(D12:D29,"E")</f>
        <v>3</v>
      </c>
      <c r="E34">
        <f t="shared" si="14"/>
        <v>3</v>
      </c>
      <c r="F34">
        <f t="shared" si="14"/>
        <v>3</v>
      </c>
      <c r="G34">
        <f t="shared" si="14"/>
        <v>3</v>
      </c>
      <c r="H34">
        <f t="shared" si="14"/>
        <v>3</v>
      </c>
      <c r="I34">
        <f t="shared" si="14"/>
        <v>3</v>
      </c>
      <c r="J34">
        <f t="shared" ref="J34:AG34" si="15">COUNTIF(J12:J29,"E")</f>
        <v>3</v>
      </c>
      <c r="K34">
        <f t="shared" si="15"/>
        <v>3</v>
      </c>
      <c r="L34">
        <f t="shared" si="15"/>
        <v>3</v>
      </c>
      <c r="M34">
        <f t="shared" si="15"/>
        <v>3</v>
      </c>
      <c r="N34">
        <f t="shared" si="15"/>
        <v>4</v>
      </c>
      <c r="O34">
        <f t="shared" si="15"/>
        <v>3</v>
      </c>
      <c r="P34">
        <f t="shared" si="15"/>
        <v>3</v>
      </c>
      <c r="Q34">
        <f t="shared" si="15"/>
        <v>3</v>
      </c>
      <c r="R34">
        <f t="shared" si="15"/>
        <v>4</v>
      </c>
      <c r="S34">
        <f t="shared" si="15"/>
        <v>4</v>
      </c>
      <c r="T34">
        <f t="shared" si="15"/>
        <v>4</v>
      </c>
      <c r="U34">
        <f t="shared" si="15"/>
        <v>4</v>
      </c>
      <c r="V34">
        <f t="shared" si="15"/>
        <v>5</v>
      </c>
      <c r="W34">
        <f t="shared" si="15"/>
        <v>5</v>
      </c>
      <c r="X34">
        <f t="shared" si="15"/>
        <v>4</v>
      </c>
      <c r="Y34">
        <f t="shared" si="15"/>
        <v>4</v>
      </c>
      <c r="Z34">
        <f t="shared" si="15"/>
        <v>4</v>
      </c>
      <c r="AA34">
        <f t="shared" si="15"/>
        <v>5</v>
      </c>
      <c r="AB34">
        <f t="shared" si="15"/>
        <v>4</v>
      </c>
      <c r="AC34">
        <f t="shared" si="15"/>
        <v>5</v>
      </c>
      <c r="AD34">
        <f t="shared" si="15"/>
        <v>5</v>
      </c>
      <c r="AE34">
        <f t="shared" si="15"/>
        <v>4</v>
      </c>
      <c r="AF34">
        <f t="shared" si="15"/>
        <v>4</v>
      </c>
      <c r="AG34">
        <f t="shared" si="15"/>
        <v>5</v>
      </c>
    </row>
    <row r="35" spans="1:40">
      <c r="C35" s="23"/>
      <c r="AM35" s="33"/>
      <c r="AN35" s="34"/>
    </row>
    <row r="36" spans="1:40" ht="15.75" thickBot="1">
      <c r="A36" s="4" t="s">
        <v>76</v>
      </c>
      <c r="C36" s="23"/>
    </row>
    <row r="37" spans="1:40" ht="14.1" customHeight="1">
      <c r="A37" s="42" t="s">
        <v>77</v>
      </c>
      <c r="B37" s="43" t="s">
        <v>78</v>
      </c>
      <c r="C37" s="44" t="s">
        <v>79</v>
      </c>
    </row>
    <row r="38" spans="1:40">
      <c r="A38" s="45" t="s">
        <v>80</v>
      </c>
      <c r="B38" s="35" t="s">
        <v>81</v>
      </c>
      <c r="C38" s="46" t="s">
        <v>82</v>
      </c>
    </row>
    <row r="39" spans="1:40" ht="15.75" thickBot="1">
      <c r="A39" s="47" t="s">
        <v>83</v>
      </c>
      <c r="B39" s="48" t="s">
        <v>84</v>
      </c>
      <c r="C39" s="49" t="s">
        <v>85</v>
      </c>
    </row>
    <row r="40" spans="1:40">
      <c r="A40" s="22"/>
      <c r="B40" s="1"/>
    </row>
    <row r="41" spans="1:40">
      <c r="A41" s="30"/>
      <c r="B41" s="1" t="s">
        <v>86</v>
      </c>
      <c r="Z41" s="153" t="s">
        <v>87</v>
      </c>
      <c r="AA41" s="153"/>
      <c r="AB41" s="153"/>
      <c r="AC41" s="153"/>
      <c r="AD41" s="153"/>
      <c r="AE41" s="153"/>
      <c r="AF41" s="153"/>
      <c r="AG41" s="153"/>
      <c r="AH41" s="153"/>
    </row>
    <row r="42" spans="1:40">
      <c r="A42" s="126"/>
      <c r="B42" s="1" t="s">
        <v>88</v>
      </c>
      <c r="Z42" s="24"/>
      <c r="AA42" s="24"/>
      <c r="AB42" s="24"/>
      <c r="AC42" s="24"/>
      <c r="AD42" s="24"/>
      <c r="AE42" s="24"/>
      <c r="AF42" s="24"/>
      <c r="AG42" s="24"/>
      <c r="AH42" s="24"/>
    </row>
    <row r="43" spans="1:40">
      <c r="A43" s="22"/>
      <c r="B43" s="1"/>
      <c r="Z43" s="24"/>
      <c r="AA43" s="24"/>
      <c r="AB43" s="24"/>
      <c r="AC43" s="24"/>
      <c r="AD43" s="24"/>
      <c r="AE43" s="24"/>
      <c r="AF43" s="24"/>
      <c r="AG43" s="24"/>
      <c r="AH43" s="24"/>
    </row>
    <row r="44" spans="1:40">
      <c r="B44" s="1"/>
      <c r="Z44" s="1"/>
      <c r="AA44" s="1"/>
      <c r="AB44" s="1"/>
      <c r="AC44" s="1"/>
      <c r="AD44" s="1"/>
      <c r="AE44" s="1"/>
      <c r="AF44" s="1"/>
      <c r="AG44" s="1"/>
      <c r="AH44" s="1"/>
    </row>
    <row r="45" spans="1:40">
      <c r="A45" s="1"/>
      <c r="B45" s="1"/>
      <c r="R45" s="3"/>
      <c r="S45" s="151" t="s">
        <v>89</v>
      </c>
      <c r="T45" s="151"/>
      <c r="U45" s="151"/>
      <c r="V45" s="151"/>
      <c r="W45" s="3"/>
      <c r="Z45" s="1"/>
      <c r="AA45" s="1"/>
      <c r="AB45" s="1"/>
      <c r="AC45" s="151" t="s">
        <v>90</v>
      </c>
      <c r="AD45" s="151"/>
      <c r="AE45" s="151"/>
      <c r="AF45" s="151"/>
      <c r="AG45" s="1"/>
      <c r="AH45" s="1"/>
    </row>
    <row r="46" spans="1:40">
      <c r="R46" s="151" t="s">
        <v>91</v>
      </c>
      <c r="S46" s="151"/>
      <c r="T46" s="151"/>
      <c r="U46" s="151"/>
      <c r="V46" s="151"/>
      <c r="W46" s="151"/>
      <c r="Z46" s="1"/>
      <c r="AA46" s="1"/>
      <c r="AB46" s="1"/>
      <c r="AC46" s="1"/>
      <c r="AD46" s="1"/>
      <c r="AE46" s="1"/>
      <c r="AF46" s="1"/>
      <c r="AG46" s="1"/>
      <c r="AH46" s="1"/>
    </row>
    <row r="47" spans="1:40">
      <c r="R47" s="152"/>
      <c r="S47" s="152"/>
      <c r="T47" s="152"/>
      <c r="U47" s="152"/>
      <c r="V47" s="152"/>
      <c r="W47" s="152"/>
      <c r="X47" s="152"/>
      <c r="Z47" s="1"/>
      <c r="AA47" s="1"/>
      <c r="AB47" s="151" t="s">
        <v>92</v>
      </c>
      <c r="AC47" s="151"/>
      <c r="AD47" s="151"/>
      <c r="AE47" s="151"/>
      <c r="AF47" s="151"/>
      <c r="AG47" s="151"/>
      <c r="AH47" s="1"/>
    </row>
    <row r="48" spans="1:40">
      <c r="R48" s="152"/>
      <c r="S48" s="152"/>
      <c r="T48" s="152"/>
      <c r="U48" s="152"/>
      <c r="V48" s="152"/>
      <c r="W48" s="152"/>
      <c r="X48" s="152"/>
      <c r="Z48" s="1"/>
      <c r="AA48" s="1"/>
      <c r="AB48" s="151"/>
      <c r="AC48" s="151"/>
      <c r="AD48" s="151"/>
      <c r="AE48" s="151"/>
      <c r="AF48" s="151"/>
      <c r="AG48" s="151"/>
      <c r="AH48" s="1"/>
    </row>
    <row r="49" spans="18:34">
      <c r="R49" s="152"/>
      <c r="S49" s="152"/>
      <c r="T49" s="152"/>
      <c r="U49" s="152"/>
      <c r="V49" s="152"/>
      <c r="W49" s="152"/>
      <c r="X49" s="152"/>
      <c r="Z49" s="1"/>
      <c r="AA49" s="1"/>
      <c r="AB49" s="151"/>
      <c r="AC49" s="151"/>
      <c r="AD49" s="151"/>
      <c r="AE49" s="151"/>
      <c r="AF49" s="151"/>
      <c r="AG49" s="151"/>
      <c r="AH49" s="1"/>
    </row>
    <row r="50" spans="18:34">
      <c r="R50" s="152"/>
      <c r="S50" s="152"/>
      <c r="T50" s="152"/>
      <c r="U50" s="152"/>
      <c r="V50" s="152"/>
      <c r="W50" s="152"/>
      <c r="X50" s="152"/>
      <c r="Z50" s="1"/>
      <c r="AA50" s="1"/>
      <c r="AB50" s="151"/>
      <c r="AC50" s="151"/>
      <c r="AD50" s="151"/>
      <c r="AE50" s="151"/>
      <c r="AF50" s="151"/>
      <c r="AG50" s="151"/>
      <c r="AH50" s="1"/>
    </row>
    <row r="51" spans="18:34">
      <c r="R51" s="152"/>
      <c r="S51" s="152"/>
      <c r="T51" s="152"/>
      <c r="U51" s="152"/>
      <c r="V51" s="152"/>
      <c r="W51" s="152"/>
      <c r="X51" s="152"/>
      <c r="Z51" s="1"/>
      <c r="AA51" s="1"/>
      <c r="AB51" s="151"/>
      <c r="AC51" s="151"/>
      <c r="AD51" s="151"/>
      <c r="AE51" s="151"/>
      <c r="AF51" s="151"/>
      <c r="AG51" s="151"/>
      <c r="AH51" s="1"/>
    </row>
    <row r="52" spans="18:34">
      <c r="R52" s="152"/>
      <c r="S52" s="152"/>
      <c r="T52" s="152"/>
      <c r="U52" s="152"/>
      <c r="V52" s="152"/>
      <c r="W52" s="152"/>
      <c r="X52" s="152"/>
      <c r="Z52" s="1"/>
      <c r="AA52" s="1"/>
      <c r="AB52" s="151"/>
      <c r="AC52" s="151"/>
      <c r="AD52" s="151"/>
      <c r="AE52" s="151"/>
      <c r="AF52" s="151"/>
      <c r="AG52" s="151"/>
      <c r="AH52" s="1"/>
    </row>
  </sheetData>
  <mergeCells count="17">
    <mergeCell ref="Z41:AH41"/>
    <mergeCell ref="AH10:AJ10"/>
    <mergeCell ref="A1:A5"/>
    <mergeCell ref="B10:B11"/>
    <mergeCell ref="C10:C11"/>
    <mergeCell ref="A10:A11"/>
    <mergeCell ref="B1:AG5"/>
    <mergeCell ref="A17:A20"/>
    <mergeCell ref="A26:A29"/>
    <mergeCell ref="A12:A16"/>
    <mergeCell ref="A30:A31"/>
    <mergeCell ref="A21:A25"/>
    <mergeCell ref="AB47:AG52"/>
    <mergeCell ref="S45:V45"/>
    <mergeCell ref="R46:W46"/>
    <mergeCell ref="AC45:AF45"/>
    <mergeCell ref="R47:X52"/>
  </mergeCells>
  <conditionalFormatting sqref="D32:AG32">
    <cfRule type="cellIs" dxfId="2" priority="1" operator="greaterThan">
      <formula>0</formula>
    </cfRule>
  </conditionalFormatting>
  <conditionalFormatting sqref="D33:AG34">
    <cfRule type="cellIs" dxfId="1" priority="2" operator="greaterThan">
      <formula>3</formula>
    </cfRule>
  </conditionalFormatting>
  <conditionalFormatting sqref="I36">
    <cfRule type="cellIs" dxfId="0" priority="7" operator="greaterThan">
      <formula>3</formula>
    </cfRule>
  </conditionalFormatting>
  <pageMargins left="0.7" right="0.7" top="0.75" bottom="0.75" header="0.3" footer="0.3"/>
  <pageSetup orientation="portrait" r:id="rId1"/>
  <ignoredErrors>
    <ignoredError sqref="B16 B12:B15 B18:B20 B30:B31 B26:B29 B17 B21:B25" numberStoredAsText="1"/>
  </ignoredError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c6af945-f9cb-4f74-a8fd-3f598ae5e425" xsi:nil="true"/>
    <lcf76f155ced4ddcb4097134ff3c332f xmlns="bc687e38-06fd-4460-aecf-ae724b232555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9E301AFCB3B5A048A334E9C3389CAE37" ma:contentTypeVersion="13" ma:contentTypeDescription="Tạo tài liệu mới." ma:contentTypeScope="" ma:versionID="7f0f7d8d2900eb39f939411b6a7786ca">
  <xsd:schema xmlns:xsd="http://www.w3.org/2001/XMLSchema" xmlns:xs="http://www.w3.org/2001/XMLSchema" xmlns:p="http://schemas.microsoft.com/office/2006/metadata/properties" xmlns:ns2="bc687e38-06fd-4460-aecf-ae724b232555" xmlns:ns3="ac6af945-f9cb-4f74-a8fd-3f598ae5e425" targetNamespace="http://schemas.microsoft.com/office/2006/metadata/properties" ma:root="true" ma:fieldsID="9e9cccbf42862b9dc2b63fc01e218181" ns2:_="" ns3:_="">
    <xsd:import namespace="bc687e38-06fd-4460-aecf-ae724b232555"/>
    <xsd:import namespace="ac6af945-f9cb-4f74-a8fd-3f598ae5e4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687e38-06fd-4460-aecf-ae724b2325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hẻ Hình ảnh" ma:readOnly="false" ma:fieldId="{5cf76f15-5ced-4ddc-b409-7134ff3c332f}" ma:taxonomyMulti="true" ma:sspId="8dae7ab9-878c-4110-bae2-90b7e89832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6af945-f9cb-4f74-a8fd-3f598ae5e42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8ee541d-e1af-4c50-b1a1-97d294572306}" ma:internalName="TaxCatchAll" ma:showField="CatchAllData" ma:web="ac6af945-f9cb-4f74-a8fd-3f598ae5e42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F616E37-8598-4F00-BE68-F72E93AF6E70}"/>
</file>

<file path=customXml/itemProps2.xml><?xml version="1.0" encoding="utf-8"?>
<ds:datastoreItem xmlns:ds="http://schemas.openxmlformats.org/officeDocument/2006/customXml" ds:itemID="{E879FB2B-3AE0-4420-9D9E-6F83289C98E6}"/>
</file>

<file path=customXml/itemProps3.xml><?xml version="1.0" encoding="utf-8"?>
<ds:datastoreItem xmlns:ds="http://schemas.openxmlformats.org/officeDocument/2006/customXml" ds:itemID="{D0A98228-B00D-415C-B32A-246F9410F0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ThinkPad</dc:creator>
  <cp:keywords/>
  <dc:description/>
  <cp:lastModifiedBy>Hien, Dam Xuan (SAG.SPA)</cp:lastModifiedBy>
  <cp:revision/>
  <dcterms:created xsi:type="dcterms:W3CDTF">2025-10-02T01:46:48Z</dcterms:created>
  <dcterms:modified xsi:type="dcterms:W3CDTF">2026-05-13T02:18:09Z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0x0101009E301AFCB3B5A048A334E9C3389CAE37</vt:lpwstr>
  </property>
  <property fmtid="{D5CDD505-2E9C-101B-9397-08002B2CF9AE}" pid="3" name="MediaServiceImageTags">
    <vt:lpwstr/>
  </property>
</Properties>
</file>