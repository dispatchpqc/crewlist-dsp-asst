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2026/08.2026/"/>
    </mc:Choice>
  </mc:AlternateContent>
  <xr:revisionPtr revIDLastSave="41" documentId="13_ncr:1_{7BBD7D4A-4295-4F63-ABEC-C8066E142DC3}" xr6:coauthVersionLast="47" xr6:coauthVersionMax="47" xr10:uidLastSave="{D8651501-0DE8-461A-A5DE-B90AE448FD74}"/>
  <bookViews>
    <workbookView xWindow="-120" yWindow="-120" windowWidth="29040" windowHeight="15720" tabRatio="683" xr2:uid="{00000000-000D-0000-FFFF-FFFF00000000}"/>
  </bookViews>
  <sheets>
    <sheet name="OCD" sheetId="1" r:id="rId1"/>
    <sheet name="Import Shift" sheetId="2" r:id="rId2"/>
    <sheet name="Danh sách c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7" i="1" l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D47" i="1"/>
  <c r="AG22" i="2" l="1" a="1"/>
  <c r="AG22" i="2" s="1"/>
  <c r="AF22" i="2" a="1"/>
  <c r="AF22" i="2" s="1"/>
  <c r="AE22" i="2" a="1"/>
  <c r="AE22" i="2" s="1"/>
  <c r="AD22" i="2" a="1"/>
  <c r="AD22" i="2" s="1"/>
  <c r="AC22" i="2" a="1"/>
  <c r="AC22" i="2" s="1"/>
  <c r="AB22" i="2" a="1"/>
  <c r="AB22" i="2" s="1"/>
  <c r="AA22" i="2" a="1"/>
  <c r="AA22" i="2" s="1"/>
  <c r="Z22" i="2" a="1"/>
  <c r="Z22" i="2" s="1"/>
  <c r="Y22" i="2" a="1"/>
  <c r="Y22" i="2" s="1"/>
  <c r="X22" i="2" a="1"/>
  <c r="X22" i="2" s="1"/>
  <c r="W22" i="2" a="1"/>
  <c r="W22" i="2" s="1"/>
  <c r="V22" i="2" a="1"/>
  <c r="V22" i="2" s="1"/>
  <c r="U22" i="2" a="1"/>
  <c r="U22" i="2" s="1"/>
  <c r="T22" i="2" a="1"/>
  <c r="T22" i="2" s="1"/>
  <c r="S22" i="2" a="1"/>
  <c r="S22" i="2" s="1"/>
  <c r="R22" i="2" a="1"/>
  <c r="R22" i="2" s="1"/>
  <c r="Q22" i="2" a="1"/>
  <c r="Q22" i="2" s="1"/>
  <c r="P22" i="2" a="1"/>
  <c r="P22" i="2" s="1"/>
  <c r="O22" i="2" a="1"/>
  <c r="O22" i="2" s="1"/>
  <c r="N22" i="2" a="1"/>
  <c r="N22" i="2" s="1"/>
  <c r="M22" i="2" a="1"/>
  <c r="M22" i="2" s="1"/>
  <c r="L22" i="2" a="1"/>
  <c r="L22" i="2" s="1"/>
  <c r="K22" i="2" a="1"/>
  <c r="K22" i="2" s="1"/>
  <c r="J22" i="2" a="1"/>
  <c r="J22" i="2" s="1"/>
  <c r="I22" i="2" a="1"/>
  <c r="I22" i="2" s="1"/>
  <c r="H22" i="2" a="1"/>
  <c r="H22" i="2" s="1"/>
  <c r="G22" i="2" a="1"/>
  <c r="G22" i="2" s="1"/>
  <c r="F22" i="2" a="1"/>
  <c r="F22" i="2" s="1"/>
  <c r="E22" i="2" a="1"/>
  <c r="E22" i="2" s="1"/>
  <c r="D22" i="2" a="1"/>
  <c r="D22" i="2" s="1"/>
  <c r="C22" i="2" a="1"/>
  <c r="C22" i="2" s="1"/>
  <c r="AG21" i="2" a="1"/>
  <c r="AG21" i="2" s="1"/>
  <c r="AF21" i="2" a="1"/>
  <c r="AF21" i="2" s="1"/>
  <c r="AE21" i="2" a="1"/>
  <c r="AE21" i="2" s="1"/>
  <c r="AD21" i="2" a="1"/>
  <c r="AD21" i="2" s="1"/>
  <c r="AC21" i="2" a="1"/>
  <c r="AC21" i="2" s="1"/>
  <c r="AB21" i="2" a="1"/>
  <c r="AB21" i="2" s="1"/>
  <c r="AA21" i="2" a="1"/>
  <c r="AA21" i="2" s="1"/>
  <c r="Z21" i="2" a="1"/>
  <c r="Z21" i="2" s="1"/>
  <c r="Y21" i="2" a="1"/>
  <c r="Y21" i="2" s="1"/>
  <c r="X21" i="2" a="1"/>
  <c r="X21" i="2" s="1"/>
  <c r="W21" i="2" a="1"/>
  <c r="W21" i="2" s="1"/>
  <c r="V21" i="2" a="1"/>
  <c r="V21" i="2" s="1"/>
  <c r="U21" i="2" a="1"/>
  <c r="U21" i="2" s="1"/>
  <c r="T21" i="2" a="1"/>
  <c r="T21" i="2" s="1"/>
  <c r="S21" i="2" a="1"/>
  <c r="S21" i="2" s="1"/>
  <c r="R21" i="2" a="1"/>
  <c r="R21" i="2" s="1"/>
  <c r="Q21" i="2" a="1"/>
  <c r="Q21" i="2" s="1"/>
  <c r="P21" i="2" a="1"/>
  <c r="P21" i="2" s="1"/>
  <c r="O21" i="2" a="1"/>
  <c r="O21" i="2" s="1"/>
  <c r="N21" i="2" a="1"/>
  <c r="N21" i="2" s="1"/>
  <c r="M21" i="2" a="1"/>
  <c r="M21" i="2" s="1"/>
  <c r="L21" i="2" a="1"/>
  <c r="L21" i="2" s="1"/>
  <c r="K21" i="2" a="1"/>
  <c r="K21" i="2" s="1"/>
  <c r="J21" i="2" a="1"/>
  <c r="J21" i="2" s="1"/>
  <c r="I21" i="2" a="1"/>
  <c r="I21" i="2" s="1"/>
  <c r="H21" i="2" a="1"/>
  <c r="H21" i="2" s="1"/>
  <c r="G21" i="2" a="1"/>
  <c r="G21" i="2" s="1"/>
  <c r="F21" i="2" a="1"/>
  <c r="F21" i="2" s="1"/>
  <c r="E21" i="2" a="1"/>
  <c r="E21" i="2" s="1"/>
  <c r="D21" i="2" a="1"/>
  <c r="D21" i="2" s="1"/>
  <c r="C21" i="2" a="1"/>
  <c r="C21" i="2" s="1"/>
  <c r="AG20" i="2" a="1"/>
  <c r="AG20" i="2" s="1"/>
  <c r="AF20" i="2" a="1"/>
  <c r="AF20" i="2" s="1"/>
  <c r="AE20" i="2" a="1"/>
  <c r="AE20" i="2" s="1"/>
  <c r="AD20" i="2" a="1"/>
  <c r="AD20" i="2" s="1"/>
  <c r="AC20" i="2" a="1"/>
  <c r="AC20" i="2" s="1"/>
  <c r="AB20" i="2" a="1"/>
  <c r="AB20" i="2" s="1"/>
  <c r="AA20" i="2" a="1"/>
  <c r="AA20" i="2" s="1"/>
  <c r="Z20" i="2" a="1"/>
  <c r="Z20" i="2" s="1"/>
  <c r="Y20" i="2" a="1"/>
  <c r="Y20" i="2" s="1"/>
  <c r="X20" i="2" a="1"/>
  <c r="X20" i="2" s="1"/>
  <c r="W20" i="2" a="1"/>
  <c r="W20" i="2" s="1"/>
  <c r="V20" i="2" a="1"/>
  <c r="V20" i="2" s="1"/>
  <c r="U20" i="2" a="1"/>
  <c r="U20" i="2" s="1"/>
  <c r="T20" i="2" a="1"/>
  <c r="T20" i="2" s="1"/>
  <c r="S20" i="2" a="1"/>
  <c r="S20" i="2" s="1"/>
  <c r="R20" i="2" a="1"/>
  <c r="R20" i="2" s="1"/>
  <c r="Q20" i="2" a="1"/>
  <c r="Q20" i="2" s="1"/>
  <c r="P20" i="2"/>
  <c r="P20" i="2" a="1"/>
  <c r="O20" i="2" a="1"/>
  <c r="O20" i="2" s="1"/>
  <c r="N20" i="2" a="1"/>
  <c r="N20" i="2" s="1"/>
  <c r="M20" i="2" a="1"/>
  <c r="M20" i="2" s="1"/>
  <c r="L20" i="2" a="1"/>
  <c r="L20" i="2" s="1"/>
  <c r="K20" i="2" a="1"/>
  <c r="K20" i="2" s="1"/>
  <c r="J20" i="2" a="1"/>
  <c r="J20" i="2" s="1"/>
  <c r="I20" i="2" a="1"/>
  <c r="I20" i="2" s="1"/>
  <c r="H20" i="2" a="1"/>
  <c r="H20" i="2" s="1"/>
  <c r="G20" i="2" a="1"/>
  <c r="G20" i="2" s="1"/>
  <c r="F20" i="2" a="1"/>
  <c r="F20" i="2" s="1"/>
  <c r="E20" i="2" a="1"/>
  <c r="E20" i="2" s="1"/>
  <c r="D20" i="2" a="1"/>
  <c r="D20" i="2" s="1"/>
  <c r="C20" i="2" a="1"/>
  <c r="C20" i="2" s="1"/>
  <c r="AG19" i="2" a="1"/>
  <c r="AG19" i="2" s="1"/>
  <c r="AF19" i="2" a="1"/>
  <c r="AF19" i="2" s="1"/>
  <c r="AE19" i="2" a="1"/>
  <c r="AE19" i="2" s="1"/>
  <c r="AD19" i="2" a="1"/>
  <c r="AD19" i="2" s="1"/>
  <c r="AC19" i="2" a="1"/>
  <c r="AC19" i="2" s="1"/>
  <c r="AB19" i="2" a="1"/>
  <c r="AB19" i="2" s="1"/>
  <c r="AA19" i="2" a="1"/>
  <c r="AA19" i="2" s="1"/>
  <c r="Z19" i="2" a="1"/>
  <c r="Z19" i="2" s="1"/>
  <c r="Y19" i="2" a="1"/>
  <c r="Y19" i="2" s="1"/>
  <c r="X19" i="2" a="1"/>
  <c r="X19" i="2" s="1"/>
  <c r="W19" i="2" a="1"/>
  <c r="W19" i="2" s="1"/>
  <c r="V19" i="2" a="1"/>
  <c r="V19" i="2" s="1"/>
  <c r="U19" i="2" a="1"/>
  <c r="U19" i="2" s="1"/>
  <c r="T19" i="2" a="1"/>
  <c r="T19" i="2" s="1"/>
  <c r="S19" i="2" a="1"/>
  <c r="S19" i="2" s="1"/>
  <c r="R19" i="2" a="1"/>
  <c r="R19" i="2" s="1"/>
  <c r="Q19" i="2" a="1"/>
  <c r="Q19" i="2" s="1"/>
  <c r="P19" i="2" a="1"/>
  <c r="P19" i="2" s="1"/>
  <c r="O19" i="2" a="1"/>
  <c r="O19" i="2" s="1"/>
  <c r="N19" i="2" a="1"/>
  <c r="N19" i="2" s="1"/>
  <c r="M19" i="2" a="1"/>
  <c r="M19" i="2" s="1"/>
  <c r="L19" i="2" a="1"/>
  <c r="L19" i="2" s="1"/>
  <c r="K19" i="2" a="1"/>
  <c r="K19" i="2" s="1"/>
  <c r="J19" i="2" a="1"/>
  <c r="J19" i="2" s="1"/>
  <c r="I19" i="2" a="1"/>
  <c r="I19" i="2" s="1"/>
  <c r="H19" i="2" a="1"/>
  <c r="H19" i="2" s="1"/>
  <c r="G19" i="2" a="1"/>
  <c r="G19" i="2" s="1"/>
  <c r="F19" i="2" a="1"/>
  <c r="F19" i="2" s="1"/>
  <c r="E19" i="2" a="1"/>
  <c r="E19" i="2" s="1"/>
  <c r="D19" i="2" a="1"/>
  <c r="D19" i="2" s="1"/>
  <c r="C19" i="2" a="1"/>
  <c r="C19" i="2" s="1"/>
  <c r="AG18" i="2" a="1"/>
  <c r="AG18" i="2" s="1"/>
  <c r="AF18" i="2" a="1"/>
  <c r="AF18" i="2" s="1"/>
  <c r="AE18" i="2" a="1"/>
  <c r="AE18" i="2" s="1"/>
  <c r="AD18" i="2" a="1"/>
  <c r="AD18" i="2" s="1"/>
  <c r="AC18" i="2" a="1"/>
  <c r="AC18" i="2" s="1"/>
  <c r="AB18" i="2" a="1"/>
  <c r="AB18" i="2" s="1"/>
  <c r="AA18" i="2" a="1"/>
  <c r="AA18" i="2" s="1"/>
  <c r="Z18" i="2" a="1"/>
  <c r="Z18" i="2" s="1"/>
  <c r="Y18" i="2" a="1"/>
  <c r="Y18" i="2" s="1"/>
  <c r="X18" i="2" a="1"/>
  <c r="X18" i="2" s="1"/>
  <c r="W18" i="2" a="1"/>
  <c r="W18" i="2" s="1"/>
  <c r="V18" i="2" a="1"/>
  <c r="V18" i="2" s="1"/>
  <c r="U18" i="2" a="1"/>
  <c r="U18" i="2" s="1"/>
  <c r="T18" i="2" a="1"/>
  <c r="T18" i="2" s="1"/>
  <c r="S18" i="2" a="1"/>
  <c r="S18" i="2" s="1"/>
  <c r="R18" i="2" a="1"/>
  <c r="R18" i="2" s="1"/>
  <c r="Q18" i="2" a="1"/>
  <c r="Q18" i="2" s="1"/>
  <c r="P18" i="2" a="1"/>
  <c r="P18" i="2" s="1"/>
  <c r="O18" i="2" a="1"/>
  <c r="O18" i="2" s="1"/>
  <c r="N18" i="2" a="1"/>
  <c r="N18" i="2" s="1"/>
  <c r="M18" i="2" a="1"/>
  <c r="M18" i="2" s="1"/>
  <c r="L18" i="2" a="1"/>
  <c r="L18" i="2" s="1"/>
  <c r="K18" i="2" a="1"/>
  <c r="K18" i="2" s="1"/>
  <c r="J18" i="2" a="1"/>
  <c r="J18" i="2" s="1"/>
  <c r="I18" i="2" a="1"/>
  <c r="I18" i="2" s="1"/>
  <c r="H18" i="2" a="1"/>
  <c r="H18" i="2" s="1"/>
  <c r="G18" i="2" a="1"/>
  <c r="G18" i="2" s="1"/>
  <c r="F18" i="2" a="1"/>
  <c r="F18" i="2" s="1"/>
  <c r="E18" i="2" a="1"/>
  <c r="E18" i="2" s="1"/>
  <c r="D18" i="2" a="1"/>
  <c r="D18" i="2" s="1"/>
  <c r="C18" i="2" a="1"/>
  <c r="C18" i="2" s="1"/>
  <c r="AG17" i="2" a="1"/>
  <c r="AG17" i="2" s="1"/>
  <c r="AF17" i="2" a="1"/>
  <c r="AF17" i="2" s="1"/>
  <c r="AE17" i="2" a="1"/>
  <c r="AE17" i="2" s="1"/>
  <c r="AD17" i="2" a="1"/>
  <c r="AD17" i="2" s="1"/>
  <c r="AC17" i="2" a="1"/>
  <c r="AC17" i="2" s="1"/>
  <c r="AB17" i="2" a="1"/>
  <c r="AB17" i="2" s="1"/>
  <c r="AA17" i="2" a="1"/>
  <c r="AA17" i="2" s="1"/>
  <c r="Z17" i="2" a="1"/>
  <c r="Z17" i="2" s="1"/>
  <c r="Y17" i="2" a="1"/>
  <c r="Y17" i="2" s="1"/>
  <c r="X17" i="2" a="1"/>
  <c r="X17" i="2" s="1"/>
  <c r="W17" i="2" a="1"/>
  <c r="W17" i="2" s="1"/>
  <c r="V17" i="2" a="1"/>
  <c r="V17" i="2" s="1"/>
  <c r="U17" i="2" a="1"/>
  <c r="U17" i="2" s="1"/>
  <c r="T17" i="2" a="1"/>
  <c r="T17" i="2" s="1"/>
  <c r="S17" i="2" a="1"/>
  <c r="S17" i="2" s="1"/>
  <c r="R17" i="2" a="1"/>
  <c r="R17" i="2" s="1"/>
  <c r="Q17" i="2" a="1"/>
  <c r="Q17" i="2" s="1"/>
  <c r="P17" i="2" a="1"/>
  <c r="P17" i="2" s="1"/>
  <c r="O17" i="2" a="1"/>
  <c r="O17" i="2" s="1"/>
  <c r="N17" i="2" a="1"/>
  <c r="N17" i="2" s="1"/>
  <c r="M17" i="2" a="1"/>
  <c r="M17" i="2" s="1"/>
  <c r="L17" i="2" a="1"/>
  <c r="L17" i="2" s="1"/>
  <c r="K17" i="2" a="1"/>
  <c r="K17" i="2" s="1"/>
  <c r="J17" i="2" a="1"/>
  <c r="J17" i="2" s="1"/>
  <c r="I17" i="2" a="1"/>
  <c r="I17" i="2" s="1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C17" i="2" a="1"/>
  <c r="C17" i="2" s="1"/>
  <c r="AG16" i="2" a="1"/>
  <c r="AG16" i="2" s="1"/>
  <c r="AF16" i="2" a="1"/>
  <c r="AF16" i="2" s="1"/>
  <c r="AE16" i="2" a="1"/>
  <c r="AE16" i="2" s="1"/>
  <c r="AD16" i="2" a="1"/>
  <c r="AD16" i="2" s="1"/>
  <c r="AC16" i="2" a="1"/>
  <c r="AC16" i="2" s="1"/>
  <c r="AB16" i="2" a="1"/>
  <c r="AB16" i="2" s="1"/>
  <c r="AA16" i="2" a="1"/>
  <c r="AA16" i="2" s="1"/>
  <c r="Z16" i="2" a="1"/>
  <c r="Z16" i="2" s="1"/>
  <c r="Y16" i="2" a="1"/>
  <c r="Y16" i="2" s="1"/>
  <c r="X16" i="2" a="1"/>
  <c r="X16" i="2" s="1"/>
  <c r="W16" i="2" a="1"/>
  <c r="W16" i="2" s="1"/>
  <c r="V16" i="2" a="1"/>
  <c r="V16" i="2" s="1"/>
  <c r="U16" i="2" a="1"/>
  <c r="U16" i="2" s="1"/>
  <c r="T16" i="2" a="1"/>
  <c r="T16" i="2" s="1"/>
  <c r="S16" i="2" a="1"/>
  <c r="S16" i="2" s="1"/>
  <c r="R16" i="2" a="1"/>
  <c r="R16" i="2" s="1"/>
  <c r="Q16" i="2" a="1"/>
  <c r="Q16" i="2" s="1"/>
  <c r="P16" i="2" a="1"/>
  <c r="P16" i="2" s="1"/>
  <c r="O16" i="2" a="1"/>
  <c r="O16" i="2" s="1"/>
  <c r="N16" i="2" a="1"/>
  <c r="N16" i="2" s="1"/>
  <c r="M16" i="2" a="1"/>
  <c r="M16" i="2" s="1"/>
  <c r="L16" i="2" a="1"/>
  <c r="L16" i="2" s="1"/>
  <c r="K16" i="2" a="1"/>
  <c r="K16" i="2" s="1"/>
  <c r="J16" i="2" a="1"/>
  <c r="J16" i="2" s="1"/>
  <c r="I16" i="2" a="1"/>
  <c r="I16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C16" i="2" a="1"/>
  <c r="C16" i="2" s="1"/>
  <c r="AG15" i="2" a="1"/>
  <c r="AG15" i="2" s="1"/>
  <c r="AF15" i="2" a="1"/>
  <c r="AF15" i="2" s="1"/>
  <c r="AE15" i="2" a="1"/>
  <c r="AE15" i="2" s="1"/>
  <c r="AD15" i="2" a="1"/>
  <c r="AD15" i="2" s="1"/>
  <c r="AC15" i="2" a="1"/>
  <c r="AC15" i="2" s="1"/>
  <c r="AB15" i="2" a="1"/>
  <c r="AB15" i="2" s="1"/>
  <c r="AA15" i="2" a="1"/>
  <c r="AA15" i="2" s="1"/>
  <c r="Z15" i="2" a="1"/>
  <c r="Z15" i="2" s="1"/>
  <c r="Y15" i="2" a="1"/>
  <c r="Y15" i="2" s="1"/>
  <c r="X15" i="2" a="1"/>
  <c r="X15" i="2" s="1"/>
  <c r="W15" i="2" a="1"/>
  <c r="W15" i="2" s="1"/>
  <c r="V15" i="2" a="1"/>
  <c r="V15" i="2" s="1"/>
  <c r="U15" i="2" a="1"/>
  <c r="U15" i="2" s="1"/>
  <c r="T15" i="2" a="1"/>
  <c r="T15" i="2" s="1"/>
  <c r="S15" i="2" a="1"/>
  <c r="S15" i="2" s="1"/>
  <c r="R15" i="2" a="1"/>
  <c r="R15" i="2" s="1"/>
  <c r="Q15" i="2" a="1"/>
  <c r="Q15" i="2" s="1"/>
  <c r="P15" i="2" a="1"/>
  <c r="P15" i="2" s="1"/>
  <c r="O15" i="2" a="1"/>
  <c r="O15" i="2" s="1"/>
  <c r="N15" i="2" a="1"/>
  <c r="N15" i="2" s="1"/>
  <c r="M15" i="2" a="1"/>
  <c r="M15" i="2" s="1"/>
  <c r="L15" i="2" a="1"/>
  <c r="L15" i="2" s="1"/>
  <c r="K15" i="2" a="1"/>
  <c r="K15" i="2" s="1"/>
  <c r="J15" i="2" a="1"/>
  <c r="J15" i="2" s="1"/>
  <c r="I15" i="2" a="1"/>
  <c r="I15" i="2" s="1"/>
  <c r="H15" i="2" a="1"/>
  <c r="H15" i="2" s="1"/>
  <c r="G15" i="2" a="1"/>
  <c r="G15" i="2" s="1"/>
  <c r="F15" i="2" a="1"/>
  <c r="F15" i="2" s="1"/>
  <c r="E15" i="2" a="1"/>
  <c r="E15" i="2" s="1"/>
  <c r="D15" i="2" a="1"/>
  <c r="D15" i="2" s="1"/>
  <c r="C15" i="2" a="1"/>
  <c r="C15" i="2" s="1"/>
  <c r="AG14" i="2" a="1"/>
  <c r="AG14" i="2" s="1"/>
  <c r="AF14" i="2" a="1"/>
  <c r="AF14" i="2" s="1"/>
  <c r="AE14" i="2" a="1"/>
  <c r="AE14" i="2" s="1"/>
  <c r="AD14" i="2" a="1"/>
  <c r="AD14" i="2" s="1"/>
  <c r="AC14" i="2" a="1"/>
  <c r="AC14" i="2" s="1"/>
  <c r="AB14" i="2" a="1"/>
  <c r="AB14" i="2" s="1"/>
  <c r="AA14" i="2" a="1"/>
  <c r="AA14" i="2" s="1"/>
  <c r="Z14" i="2" a="1"/>
  <c r="Z14" i="2" s="1"/>
  <c r="Y14" i="2" a="1"/>
  <c r="Y14" i="2" s="1"/>
  <c r="X14" i="2" a="1"/>
  <c r="X14" i="2" s="1"/>
  <c r="W14" i="2" a="1"/>
  <c r="W14" i="2" s="1"/>
  <c r="V14" i="2" a="1"/>
  <c r="V14" i="2" s="1"/>
  <c r="U14" i="2" a="1"/>
  <c r="U14" i="2" s="1"/>
  <c r="T14" i="2" a="1"/>
  <c r="T14" i="2" s="1"/>
  <c r="S14" i="2" a="1"/>
  <c r="S14" i="2" s="1"/>
  <c r="R14" i="2" a="1"/>
  <c r="R14" i="2" s="1"/>
  <c r="Q14" i="2" a="1"/>
  <c r="Q14" i="2" s="1"/>
  <c r="P14" i="2" a="1"/>
  <c r="P14" i="2" s="1"/>
  <c r="O14" i="2" a="1"/>
  <c r="O14" i="2" s="1"/>
  <c r="N14" i="2" a="1"/>
  <c r="N14" i="2" s="1"/>
  <c r="M14" i="2" a="1"/>
  <c r="M14" i="2" s="1"/>
  <c r="L14" i="2" a="1"/>
  <c r="L14" i="2" s="1"/>
  <c r="K14" i="2" a="1"/>
  <c r="K14" i="2" s="1"/>
  <c r="J14" i="2" a="1"/>
  <c r="J14" i="2" s="1"/>
  <c r="I14" i="2" a="1"/>
  <c r="I14" i="2" s="1"/>
  <c r="H14" i="2" a="1"/>
  <c r="H14" i="2" s="1"/>
  <c r="G14" i="2" a="1"/>
  <c r="G14" i="2" s="1"/>
  <c r="F14" i="2" a="1"/>
  <c r="F14" i="2" s="1"/>
  <c r="E14" i="2" a="1"/>
  <c r="E14" i="2" s="1"/>
  <c r="D14" i="2" a="1"/>
  <c r="D14" i="2" s="1"/>
  <c r="C14" i="2" a="1"/>
  <c r="C14" i="2" s="1"/>
  <c r="AG13" i="2" a="1"/>
  <c r="AG13" i="2" s="1"/>
  <c r="AF13" i="2" a="1"/>
  <c r="AF13" i="2" s="1"/>
  <c r="AE13" i="2" a="1"/>
  <c r="AE13" i="2" s="1"/>
  <c r="AD13" i="2" a="1"/>
  <c r="AD13" i="2" s="1"/>
  <c r="AC13" i="2" a="1"/>
  <c r="AC13" i="2" s="1"/>
  <c r="AB13" i="2" a="1"/>
  <c r="AB13" i="2" s="1"/>
  <c r="AA13" i="2" a="1"/>
  <c r="AA13" i="2" s="1"/>
  <c r="Z13" i="2" a="1"/>
  <c r="Z13" i="2" s="1"/>
  <c r="Y13" i="2" a="1"/>
  <c r="Y13" i="2" s="1"/>
  <c r="X13" i="2" a="1"/>
  <c r="X13" i="2" s="1"/>
  <c r="W13" i="2" a="1"/>
  <c r="W13" i="2" s="1"/>
  <c r="V13" i="2" a="1"/>
  <c r="V13" i="2" s="1"/>
  <c r="U13" i="2" a="1"/>
  <c r="U13" i="2" s="1"/>
  <c r="T13" i="2" a="1"/>
  <c r="T13" i="2" s="1"/>
  <c r="S13" i="2" a="1"/>
  <c r="S13" i="2" s="1"/>
  <c r="R13" i="2" a="1"/>
  <c r="R13" i="2" s="1"/>
  <c r="Q13" i="2" a="1"/>
  <c r="Q13" i="2" s="1"/>
  <c r="P13" i="2" a="1"/>
  <c r="P13" i="2" s="1"/>
  <c r="O13" i="2" a="1"/>
  <c r="O13" i="2" s="1"/>
  <c r="N13" i="2" a="1"/>
  <c r="N13" i="2" s="1"/>
  <c r="M13" i="2" a="1"/>
  <c r="M13" i="2" s="1"/>
  <c r="L13" i="2" a="1"/>
  <c r="L13" i="2" s="1"/>
  <c r="K13" i="2" a="1"/>
  <c r="K13" i="2" s="1"/>
  <c r="J13" i="2" a="1"/>
  <c r="J13" i="2" s="1"/>
  <c r="I13" i="2" a="1"/>
  <c r="I13" i="2" s="1"/>
  <c r="H13" i="2" a="1"/>
  <c r="H13" i="2" s="1"/>
  <c r="G13" i="2" a="1"/>
  <c r="G13" i="2" s="1"/>
  <c r="F13" i="2" a="1"/>
  <c r="F13" i="2" s="1"/>
  <c r="E13" i="2" a="1"/>
  <c r="E13" i="2" s="1"/>
  <c r="D13" i="2" a="1"/>
  <c r="D13" i="2" s="1"/>
  <c r="C13" i="2" a="1"/>
  <c r="C13" i="2" s="1"/>
  <c r="AG12" i="2" a="1"/>
  <c r="AG12" i="2" s="1"/>
  <c r="AF12" i="2" a="1"/>
  <c r="AF12" i="2" s="1"/>
  <c r="AE12" i="2" a="1"/>
  <c r="AE12" i="2" s="1"/>
  <c r="AD12" i="2" a="1"/>
  <c r="AD12" i="2" s="1"/>
  <c r="AC12" i="2" a="1"/>
  <c r="AC12" i="2" s="1"/>
  <c r="AB12" i="2" a="1"/>
  <c r="AB12" i="2" s="1"/>
  <c r="AA12" i="2" a="1"/>
  <c r="AA12" i="2" s="1"/>
  <c r="Z12" i="2" a="1"/>
  <c r="Z12" i="2" s="1"/>
  <c r="Y12" i="2" a="1"/>
  <c r="Y12" i="2" s="1"/>
  <c r="X12" i="2" a="1"/>
  <c r="X12" i="2" s="1"/>
  <c r="W12" i="2" a="1"/>
  <c r="W12" i="2" s="1"/>
  <c r="V12" i="2" a="1"/>
  <c r="V12" i="2" s="1"/>
  <c r="U12" i="2" a="1"/>
  <c r="U12" i="2" s="1"/>
  <c r="T12" i="2" a="1"/>
  <c r="T12" i="2" s="1"/>
  <c r="S12" i="2" a="1"/>
  <c r="S12" i="2" s="1"/>
  <c r="R12" i="2" a="1"/>
  <c r="R12" i="2" s="1"/>
  <c r="Q12" i="2" a="1"/>
  <c r="Q12" i="2" s="1"/>
  <c r="P12" i="2" a="1"/>
  <c r="P12" i="2" s="1"/>
  <c r="O12" i="2" a="1"/>
  <c r="O12" i="2" s="1"/>
  <c r="N12" i="2" a="1"/>
  <c r="N12" i="2" s="1"/>
  <c r="M12" i="2" a="1"/>
  <c r="M12" i="2" s="1"/>
  <c r="L12" i="2" a="1"/>
  <c r="L12" i="2" s="1"/>
  <c r="K12" i="2" a="1"/>
  <c r="K12" i="2" s="1"/>
  <c r="J12" i="2" a="1"/>
  <c r="J12" i="2" s="1"/>
  <c r="I12" i="2" a="1"/>
  <c r="I12" i="2" s="1"/>
  <c r="H12" i="2" a="1"/>
  <c r="H12" i="2" s="1"/>
  <c r="G12" i="2" a="1"/>
  <c r="G12" i="2" s="1"/>
  <c r="F12" i="2" a="1"/>
  <c r="F12" i="2" s="1"/>
  <c r="E12" i="2" a="1"/>
  <c r="E12" i="2" s="1"/>
  <c r="D12" i="2" a="1"/>
  <c r="D12" i="2" s="1"/>
  <c r="C12" i="2" a="1"/>
  <c r="C12" i="2" s="1"/>
  <c r="AG11" i="2" a="1"/>
  <c r="AG11" i="2" s="1"/>
  <c r="AF11" i="2" a="1"/>
  <c r="AF11" i="2" s="1"/>
  <c r="AE11" i="2" a="1"/>
  <c r="AE11" i="2" s="1"/>
  <c r="AD11" i="2" a="1"/>
  <c r="AD11" i="2" s="1"/>
  <c r="AC11" i="2" a="1"/>
  <c r="AC11" i="2" s="1"/>
  <c r="AB11" i="2" a="1"/>
  <c r="AB11" i="2" s="1"/>
  <c r="AA11" i="2" a="1"/>
  <c r="AA11" i="2" s="1"/>
  <c r="Z11" i="2" a="1"/>
  <c r="Z11" i="2" s="1"/>
  <c r="Y11" i="2" a="1"/>
  <c r="Y11" i="2" s="1"/>
  <c r="X11" i="2" a="1"/>
  <c r="X11" i="2" s="1"/>
  <c r="W11" i="2" a="1"/>
  <c r="W11" i="2" s="1"/>
  <c r="V11" i="2" a="1"/>
  <c r="V11" i="2" s="1"/>
  <c r="U11" i="2" a="1"/>
  <c r="U11" i="2" s="1"/>
  <c r="T11" i="2" a="1"/>
  <c r="T11" i="2" s="1"/>
  <c r="S11" i="2" a="1"/>
  <c r="S11" i="2" s="1"/>
  <c r="R11" i="2" a="1"/>
  <c r="R11" i="2" s="1"/>
  <c r="Q11" i="2" a="1"/>
  <c r="Q11" i="2" s="1"/>
  <c r="P11" i="2" a="1"/>
  <c r="P11" i="2" s="1"/>
  <c r="O11" i="2" a="1"/>
  <c r="O11" i="2" s="1"/>
  <c r="N11" i="2" a="1"/>
  <c r="N11" i="2" s="1"/>
  <c r="M11" i="2" a="1"/>
  <c r="M11" i="2" s="1"/>
  <c r="L11" i="2" a="1"/>
  <c r="L11" i="2" s="1"/>
  <c r="K11" i="2" a="1"/>
  <c r="K11" i="2" s="1"/>
  <c r="J11" i="2" a="1"/>
  <c r="J11" i="2" s="1"/>
  <c r="I11" i="2" a="1"/>
  <c r="I11" i="2" s="1"/>
  <c r="H11" i="2" a="1"/>
  <c r="H11" i="2" s="1"/>
  <c r="G11" i="2" a="1"/>
  <c r="G11" i="2" s="1"/>
  <c r="F11" i="2" a="1"/>
  <c r="F11" i="2" s="1"/>
  <c r="E11" i="2" a="1"/>
  <c r="E11" i="2" s="1"/>
  <c r="D11" i="2" a="1"/>
  <c r="D11" i="2" s="1"/>
  <c r="C11" i="2" a="1"/>
  <c r="C11" i="2" s="1"/>
  <c r="AG10" i="2" a="1"/>
  <c r="AG10" i="2" s="1"/>
  <c r="AF10" i="2" a="1"/>
  <c r="AF10" i="2" s="1"/>
  <c r="AE10" i="2" a="1"/>
  <c r="AE10" i="2" s="1"/>
  <c r="AD10" i="2" a="1"/>
  <c r="AD10" i="2" s="1"/>
  <c r="AC10" i="2" a="1"/>
  <c r="AC10" i="2" s="1"/>
  <c r="AB10" i="2" a="1"/>
  <c r="AB10" i="2" s="1"/>
  <c r="AA10" i="2" a="1"/>
  <c r="AA10" i="2" s="1"/>
  <c r="Z10" i="2" a="1"/>
  <c r="Z10" i="2" s="1"/>
  <c r="Y10" i="2" a="1"/>
  <c r="Y10" i="2" s="1"/>
  <c r="X10" i="2" a="1"/>
  <c r="X10" i="2" s="1"/>
  <c r="W10" i="2" a="1"/>
  <c r="W10" i="2" s="1"/>
  <c r="V10" i="2" a="1"/>
  <c r="V10" i="2" s="1"/>
  <c r="U10" i="2" a="1"/>
  <c r="U10" i="2" s="1"/>
  <c r="T10" i="2" a="1"/>
  <c r="T10" i="2" s="1"/>
  <c r="S10" i="2" a="1"/>
  <c r="S10" i="2" s="1"/>
  <c r="R10" i="2" a="1"/>
  <c r="R10" i="2" s="1"/>
  <c r="Q10" i="2" a="1"/>
  <c r="Q10" i="2" s="1"/>
  <c r="P10" i="2" a="1"/>
  <c r="P10" i="2" s="1"/>
  <c r="O10" i="2" a="1"/>
  <c r="O10" i="2" s="1"/>
  <c r="N10" i="2" a="1"/>
  <c r="N10" i="2" s="1"/>
  <c r="M10" i="2" a="1"/>
  <c r="M10" i="2" s="1"/>
  <c r="L10" i="2" a="1"/>
  <c r="L10" i="2" s="1"/>
  <c r="K10" i="2" a="1"/>
  <c r="K10" i="2" s="1"/>
  <c r="J10" i="2" a="1"/>
  <c r="J10" i="2" s="1"/>
  <c r="I10" i="2" a="1"/>
  <c r="I10" i="2" s="1"/>
  <c r="H10" i="2" a="1"/>
  <c r="H10" i="2" s="1"/>
  <c r="G10" i="2" a="1"/>
  <c r="G10" i="2" s="1"/>
  <c r="F10" i="2" a="1"/>
  <c r="F10" i="2" s="1"/>
  <c r="E10" i="2" a="1"/>
  <c r="E10" i="2" s="1"/>
  <c r="D10" i="2" a="1"/>
  <c r="D10" i="2" s="1"/>
  <c r="C10" i="2" a="1"/>
  <c r="C10" i="2" s="1"/>
  <c r="AG9" i="2" a="1"/>
  <c r="AG9" i="2" s="1"/>
  <c r="AF9" i="2" a="1"/>
  <c r="AF9" i="2" s="1"/>
  <c r="AE9" i="2" a="1"/>
  <c r="AE9" i="2" s="1"/>
  <c r="AD9" i="2" a="1"/>
  <c r="AD9" i="2" s="1"/>
  <c r="AC9" i="2" a="1"/>
  <c r="AC9" i="2" s="1"/>
  <c r="AB9" i="2" a="1"/>
  <c r="AB9" i="2" s="1"/>
  <c r="AA9" i="2" a="1"/>
  <c r="AA9" i="2" s="1"/>
  <c r="Z9" i="2" a="1"/>
  <c r="Z9" i="2" s="1"/>
  <c r="Y9" i="2" a="1"/>
  <c r="Y9" i="2" s="1"/>
  <c r="X9" i="2" a="1"/>
  <c r="X9" i="2" s="1"/>
  <c r="W9" i="2" a="1"/>
  <c r="W9" i="2" s="1"/>
  <c r="V9" i="2" a="1"/>
  <c r="V9" i="2" s="1"/>
  <c r="U9" i="2" a="1"/>
  <c r="U9" i="2" s="1"/>
  <c r="T9" i="2" a="1"/>
  <c r="T9" i="2" s="1"/>
  <c r="S9" i="2" a="1"/>
  <c r="S9" i="2" s="1"/>
  <c r="R9" i="2" a="1"/>
  <c r="R9" i="2" s="1"/>
  <c r="Q9" i="2" a="1"/>
  <c r="Q9" i="2" s="1"/>
  <c r="P9" i="2" a="1"/>
  <c r="P9" i="2" s="1"/>
  <c r="O9" i="2" a="1"/>
  <c r="O9" i="2" s="1"/>
  <c r="N9" i="2" a="1"/>
  <c r="N9" i="2" s="1"/>
  <c r="M9" i="2" a="1"/>
  <c r="M9" i="2" s="1"/>
  <c r="L9" i="2" a="1"/>
  <c r="L9" i="2" s="1"/>
  <c r="K9" i="2" a="1"/>
  <c r="K9" i="2" s="1"/>
  <c r="J9" i="2" a="1"/>
  <c r="J9" i="2" s="1"/>
  <c r="I9" i="2" a="1"/>
  <c r="I9" i="2" s="1"/>
  <c r="H9" i="2" a="1"/>
  <c r="H9" i="2" s="1"/>
  <c r="G9" i="2" a="1"/>
  <c r="G9" i="2" s="1"/>
  <c r="F9" i="2" a="1"/>
  <c r="F9" i="2" s="1"/>
  <c r="E9" i="2" a="1"/>
  <c r="E9" i="2" s="1"/>
  <c r="D9" i="2" a="1"/>
  <c r="D9" i="2" s="1"/>
  <c r="C9" i="2" a="1"/>
  <c r="C9" i="2" s="1"/>
  <c r="AG8" i="2" a="1"/>
  <c r="AG8" i="2" s="1"/>
  <c r="AF8" i="2" a="1"/>
  <c r="AF8" i="2" s="1"/>
  <c r="AE8" i="2" a="1"/>
  <c r="AE8" i="2" s="1"/>
  <c r="AD8" i="2" a="1"/>
  <c r="AD8" i="2" s="1"/>
  <c r="AC8" i="2" a="1"/>
  <c r="AC8" i="2" s="1"/>
  <c r="AB8" i="2" a="1"/>
  <c r="AB8" i="2" s="1"/>
  <c r="AA8" i="2" a="1"/>
  <c r="AA8" i="2" s="1"/>
  <c r="Z8" i="2" a="1"/>
  <c r="Z8" i="2" s="1"/>
  <c r="Y8" i="2" a="1"/>
  <c r="Y8" i="2" s="1"/>
  <c r="X8" i="2" a="1"/>
  <c r="X8" i="2" s="1"/>
  <c r="W8" i="2" a="1"/>
  <c r="W8" i="2" s="1"/>
  <c r="V8" i="2" a="1"/>
  <c r="V8" i="2" s="1"/>
  <c r="U8" i="2" a="1"/>
  <c r="U8" i="2" s="1"/>
  <c r="T8" i="2" a="1"/>
  <c r="T8" i="2" s="1"/>
  <c r="S8" i="2" a="1"/>
  <c r="S8" i="2" s="1"/>
  <c r="R8" i="2" a="1"/>
  <c r="R8" i="2" s="1"/>
  <c r="Q8" i="2" a="1"/>
  <c r="Q8" i="2" s="1"/>
  <c r="P8" i="2" a="1"/>
  <c r="P8" i="2" s="1"/>
  <c r="O8" i="2" a="1"/>
  <c r="O8" i="2" s="1"/>
  <c r="N8" i="2" a="1"/>
  <c r="N8" i="2" s="1"/>
  <c r="M8" i="2" a="1"/>
  <c r="M8" i="2" s="1"/>
  <c r="L8" i="2" a="1"/>
  <c r="L8" i="2" s="1"/>
  <c r="K8" i="2" a="1"/>
  <c r="K8" i="2" s="1"/>
  <c r="J8" i="2" a="1"/>
  <c r="J8" i="2" s="1"/>
  <c r="I8" i="2" a="1"/>
  <c r="I8" i="2" s="1"/>
  <c r="H8" i="2" a="1"/>
  <c r="H8" i="2" s="1"/>
  <c r="G8" i="2" a="1"/>
  <c r="G8" i="2" s="1"/>
  <c r="F8" i="2" a="1"/>
  <c r="F8" i="2" s="1"/>
  <c r="E8" i="2" a="1"/>
  <c r="E8" i="2" s="1"/>
  <c r="D8" i="2" a="1"/>
  <c r="D8" i="2" s="1"/>
  <c r="C8" i="2" a="1"/>
  <c r="C8" i="2" s="1"/>
  <c r="AG7" i="2" a="1"/>
  <c r="AG7" i="2" s="1"/>
  <c r="AF7" i="2" a="1"/>
  <c r="AF7" i="2" s="1"/>
  <c r="AE7" i="2" a="1"/>
  <c r="AE7" i="2" s="1"/>
  <c r="AD7" i="2" a="1"/>
  <c r="AD7" i="2" s="1"/>
  <c r="AC7" i="2" a="1"/>
  <c r="AC7" i="2" s="1"/>
  <c r="AB7" i="2" a="1"/>
  <c r="AB7" i="2" s="1"/>
  <c r="AA7" i="2" a="1"/>
  <c r="AA7" i="2" s="1"/>
  <c r="Z7" i="2" a="1"/>
  <c r="Z7" i="2" s="1"/>
  <c r="Y7" i="2" a="1"/>
  <c r="Y7" i="2" s="1"/>
  <c r="X7" i="2" a="1"/>
  <c r="X7" i="2" s="1"/>
  <c r="W7" i="2" a="1"/>
  <c r="W7" i="2" s="1"/>
  <c r="V7" i="2" a="1"/>
  <c r="V7" i="2" s="1"/>
  <c r="U7" i="2" a="1"/>
  <c r="U7" i="2" s="1"/>
  <c r="T7" i="2" a="1"/>
  <c r="T7" i="2" s="1"/>
  <c r="S7" i="2" a="1"/>
  <c r="S7" i="2" s="1"/>
  <c r="R7" i="2" a="1"/>
  <c r="R7" i="2" s="1"/>
  <c r="Q7" i="2" a="1"/>
  <c r="Q7" i="2" s="1"/>
  <c r="P7" i="2" a="1"/>
  <c r="P7" i="2" s="1"/>
  <c r="O7" i="2" a="1"/>
  <c r="O7" i="2" s="1"/>
  <c r="N7" i="2" a="1"/>
  <c r="N7" i="2" s="1"/>
  <c r="M7" i="2" a="1"/>
  <c r="M7" i="2" s="1"/>
  <c r="L7" i="2" a="1"/>
  <c r="L7" i="2" s="1"/>
  <c r="K7" i="2" a="1"/>
  <c r="K7" i="2" s="1"/>
  <c r="J7" i="2" a="1"/>
  <c r="J7" i="2" s="1"/>
  <c r="I7" i="2" a="1"/>
  <c r="I7" i="2" s="1"/>
  <c r="H7" i="2" a="1"/>
  <c r="H7" i="2" s="1"/>
  <c r="G7" i="2" a="1"/>
  <c r="G7" i="2" s="1"/>
  <c r="F7" i="2" a="1"/>
  <c r="F7" i="2" s="1"/>
  <c r="E7" i="2" a="1"/>
  <c r="E7" i="2" s="1"/>
  <c r="D7" i="2" a="1"/>
  <c r="D7" i="2" s="1"/>
  <c r="C7" i="2" a="1"/>
  <c r="C7" i="2" s="1"/>
  <c r="AG6" i="2" a="1"/>
  <c r="AG6" i="2" s="1"/>
  <c r="AF6" i="2" a="1"/>
  <c r="AF6" i="2" s="1"/>
  <c r="AE6" i="2" a="1"/>
  <c r="AE6" i="2" s="1"/>
  <c r="AD6" i="2" a="1"/>
  <c r="AD6" i="2" s="1"/>
  <c r="AC6" i="2" a="1"/>
  <c r="AC6" i="2" s="1"/>
  <c r="AB6" i="2" a="1"/>
  <c r="AB6" i="2" s="1"/>
  <c r="AA6" i="2" a="1"/>
  <c r="AA6" i="2" s="1"/>
  <c r="Z6" i="2" a="1"/>
  <c r="Z6" i="2" s="1"/>
  <c r="Y6" i="2" a="1"/>
  <c r="Y6" i="2" s="1"/>
  <c r="X6" i="2" a="1"/>
  <c r="X6" i="2" s="1"/>
  <c r="W6" i="2" a="1"/>
  <c r="W6" i="2" s="1"/>
  <c r="V6" i="2" a="1"/>
  <c r="V6" i="2" s="1"/>
  <c r="U6" i="2" a="1"/>
  <c r="U6" i="2" s="1"/>
  <c r="T6" i="2" a="1"/>
  <c r="T6" i="2" s="1"/>
  <c r="S6" i="2" a="1"/>
  <c r="S6" i="2" s="1"/>
  <c r="R6" i="2" a="1"/>
  <c r="R6" i="2" s="1"/>
  <c r="Q6" i="2" a="1"/>
  <c r="Q6" i="2" s="1"/>
  <c r="P6" i="2" a="1"/>
  <c r="P6" i="2" s="1"/>
  <c r="O6" i="2" a="1"/>
  <c r="O6" i="2" s="1"/>
  <c r="N6" i="2" a="1"/>
  <c r="N6" i="2" s="1"/>
  <c r="M6" i="2" a="1"/>
  <c r="M6" i="2" s="1"/>
  <c r="L6" i="2" a="1"/>
  <c r="L6" i="2" s="1"/>
  <c r="K6" i="2" a="1"/>
  <c r="K6" i="2" s="1"/>
  <c r="J6" i="2" a="1"/>
  <c r="J6" i="2" s="1"/>
  <c r="I6" i="2" a="1"/>
  <c r="I6" i="2" s="1"/>
  <c r="H6" i="2" a="1"/>
  <c r="H6" i="2" s="1"/>
  <c r="G6" i="2" a="1"/>
  <c r="G6" i="2" s="1"/>
  <c r="F6" i="2" a="1"/>
  <c r="F6" i="2" s="1"/>
  <c r="E6" i="2" a="1"/>
  <c r="E6" i="2" s="1"/>
  <c r="D6" i="2" a="1"/>
  <c r="D6" i="2" s="1"/>
  <c r="C6" i="2" a="1"/>
  <c r="C6" i="2" s="1"/>
  <c r="AG5" i="2" a="1"/>
  <c r="AG5" i="2" s="1"/>
  <c r="AF5" i="2" a="1"/>
  <c r="AF5" i="2" s="1"/>
  <c r="AE5" i="2" a="1"/>
  <c r="AE5" i="2" s="1"/>
  <c r="AD5" i="2" a="1"/>
  <c r="AD5" i="2" s="1"/>
  <c r="AC5" i="2" a="1"/>
  <c r="AC5" i="2" s="1"/>
  <c r="AB5" i="2" a="1"/>
  <c r="AB5" i="2" s="1"/>
  <c r="AA5" i="2" a="1"/>
  <c r="AA5" i="2" s="1"/>
  <c r="Z5" i="2" a="1"/>
  <c r="Z5" i="2" s="1"/>
  <c r="Y5" i="2" a="1"/>
  <c r="Y5" i="2" s="1"/>
  <c r="X5" i="2" a="1"/>
  <c r="X5" i="2" s="1"/>
  <c r="W5" i="2" a="1"/>
  <c r="W5" i="2" s="1"/>
  <c r="V5" i="2" a="1"/>
  <c r="V5" i="2" s="1"/>
  <c r="U5" i="2" a="1"/>
  <c r="U5" i="2" s="1"/>
  <c r="T5" i="2" a="1"/>
  <c r="T5" i="2" s="1"/>
  <c r="S5" i="2" a="1"/>
  <c r="S5" i="2" s="1"/>
  <c r="R5" i="2" a="1"/>
  <c r="R5" i="2" s="1"/>
  <c r="Q5" i="2" a="1"/>
  <c r="Q5" i="2" s="1"/>
  <c r="P5" i="2" a="1"/>
  <c r="P5" i="2" s="1"/>
  <c r="O5" i="2" a="1"/>
  <c r="O5" i="2" s="1"/>
  <c r="N5" i="2" a="1"/>
  <c r="N5" i="2" s="1"/>
  <c r="M5" i="2" a="1"/>
  <c r="M5" i="2" s="1"/>
  <c r="L5" i="2" a="1"/>
  <c r="L5" i="2" s="1"/>
  <c r="K5" i="2" a="1"/>
  <c r="K5" i="2" s="1"/>
  <c r="J5" i="2" a="1"/>
  <c r="J5" i="2" s="1"/>
  <c r="I5" i="2" a="1"/>
  <c r="I5" i="2" s="1"/>
  <c r="H5" i="2" a="1"/>
  <c r="H5" i="2" s="1"/>
  <c r="G5" i="2" a="1"/>
  <c r="G5" i="2" s="1"/>
  <c r="F5" i="2" a="1"/>
  <c r="F5" i="2" s="1"/>
  <c r="E5" i="2" a="1"/>
  <c r="E5" i="2" s="1"/>
  <c r="D5" i="2" a="1"/>
  <c r="D5" i="2" s="1"/>
  <c r="C5" i="2" a="1"/>
  <c r="C5" i="2" s="1"/>
  <c r="AG4" i="2" a="1"/>
  <c r="AG4" i="2" s="1"/>
  <c r="AF4" i="2" a="1"/>
  <c r="AF4" i="2" s="1"/>
  <c r="AE4" i="2" a="1"/>
  <c r="AE4" i="2" s="1"/>
  <c r="AD4" i="2" a="1"/>
  <c r="AD4" i="2" s="1"/>
  <c r="AC4" i="2" a="1"/>
  <c r="AC4" i="2" s="1"/>
  <c r="AB4" i="2" a="1"/>
  <c r="AB4" i="2" s="1"/>
  <c r="AA4" i="2" a="1"/>
  <c r="AA4" i="2" s="1"/>
  <c r="Z4" i="2" a="1"/>
  <c r="Z4" i="2" s="1"/>
  <c r="Y4" i="2" a="1"/>
  <c r="Y4" i="2" s="1"/>
  <c r="X4" i="2" a="1"/>
  <c r="X4" i="2" s="1"/>
  <c r="W4" i="2" a="1"/>
  <c r="W4" i="2" s="1"/>
  <c r="V4" i="2" a="1"/>
  <c r="V4" i="2" s="1"/>
  <c r="U4" i="2" a="1"/>
  <c r="U4" i="2" s="1"/>
  <c r="T4" i="2" a="1"/>
  <c r="T4" i="2" s="1"/>
  <c r="S4" i="2" a="1"/>
  <c r="S4" i="2" s="1"/>
  <c r="R4" i="2" a="1"/>
  <c r="R4" i="2" s="1"/>
  <c r="Q4" i="2" a="1"/>
  <c r="Q4" i="2" s="1"/>
  <c r="P4" i="2" a="1"/>
  <c r="P4" i="2" s="1"/>
  <c r="O4" i="2" a="1"/>
  <c r="O4" i="2" s="1"/>
  <c r="N4" i="2" a="1"/>
  <c r="N4" i="2" s="1"/>
  <c r="M4" i="2" a="1"/>
  <c r="M4" i="2" s="1"/>
  <c r="L4" i="2" a="1"/>
  <c r="L4" i="2" s="1"/>
  <c r="K4" i="2" a="1"/>
  <c r="K4" i="2" s="1"/>
  <c r="J4" i="2" a="1"/>
  <c r="J4" i="2" s="1"/>
  <c r="I4" i="2" a="1"/>
  <c r="I4" i="2" s="1"/>
  <c r="H4" i="2" a="1"/>
  <c r="H4" i="2" s="1"/>
  <c r="G4" i="2" a="1"/>
  <c r="G4" i="2" s="1"/>
  <c r="F4" i="2" a="1"/>
  <c r="F4" i="2" s="1"/>
  <c r="E4" i="2" a="1"/>
  <c r="E4" i="2" s="1"/>
  <c r="D4" i="2" a="1"/>
  <c r="D4" i="2" s="1"/>
  <c r="C4" i="2" a="1"/>
  <c r="C4" i="2" s="1"/>
  <c r="AG3" i="2" a="1"/>
  <c r="AG3" i="2" s="1"/>
  <c r="AF3" i="2" a="1"/>
  <c r="AF3" i="2" s="1"/>
  <c r="AE3" i="2" a="1"/>
  <c r="AE3" i="2" s="1"/>
  <c r="AD3" i="2" a="1"/>
  <c r="AD3" i="2" s="1"/>
  <c r="AC3" i="2" a="1"/>
  <c r="AC3" i="2" s="1"/>
  <c r="AB3" i="2" a="1"/>
  <c r="AB3" i="2" s="1"/>
  <c r="AA3" i="2" a="1"/>
  <c r="AA3" i="2" s="1"/>
  <c r="Z3" i="2" a="1"/>
  <c r="Z3" i="2" s="1"/>
  <c r="Y3" i="2" a="1"/>
  <c r="Y3" i="2" s="1"/>
  <c r="X3" i="2" a="1"/>
  <c r="X3" i="2" s="1"/>
  <c r="W3" i="2" a="1"/>
  <c r="W3" i="2" s="1"/>
  <c r="V3" i="2" a="1"/>
  <c r="V3" i="2" s="1"/>
  <c r="U3" i="2" a="1"/>
  <c r="U3" i="2" s="1"/>
  <c r="T3" i="2" a="1"/>
  <c r="T3" i="2" s="1"/>
  <c r="S3" i="2" a="1"/>
  <c r="S3" i="2" s="1"/>
  <c r="R3" i="2" a="1"/>
  <c r="R3" i="2" s="1"/>
  <c r="Q3" i="2" a="1"/>
  <c r="Q3" i="2" s="1"/>
  <c r="P3" i="2" a="1"/>
  <c r="P3" i="2" s="1"/>
  <c r="O3" i="2" a="1"/>
  <c r="O3" i="2" s="1"/>
  <c r="N3" i="2" a="1"/>
  <c r="N3" i="2" s="1"/>
  <c r="M3" i="2" a="1"/>
  <c r="M3" i="2" s="1"/>
  <c r="L3" i="2" a="1"/>
  <c r="L3" i="2" s="1"/>
  <c r="K3" i="2" a="1"/>
  <c r="K3" i="2" s="1"/>
  <c r="J3" i="2" a="1"/>
  <c r="J3" i="2" s="1"/>
  <c r="I3" i="2" a="1"/>
  <c r="I3" i="2" s="1"/>
  <c r="H3" i="2" a="1"/>
  <c r="H3" i="2" s="1"/>
  <c r="G3" i="2" a="1"/>
  <c r="G3" i="2" s="1"/>
  <c r="F3" i="2" a="1"/>
  <c r="F3" i="2" s="1"/>
  <c r="E3" i="2" a="1"/>
  <c r="E3" i="2" s="1"/>
  <c r="D3" i="2" a="1"/>
  <c r="D3" i="2" s="1"/>
  <c r="C3" i="2" a="1"/>
  <c r="C3" i="2" s="1"/>
  <c r="AG2" i="2" a="1"/>
  <c r="AG2" i="2" s="1"/>
  <c r="AF2" i="2" a="1"/>
  <c r="AF2" i="2" s="1"/>
  <c r="AE2" i="2" a="1"/>
  <c r="AE2" i="2" s="1"/>
  <c r="AD2" i="2" a="1"/>
  <c r="AD2" i="2" s="1"/>
  <c r="AC2" i="2" a="1"/>
  <c r="AC2" i="2" s="1"/>
  <c r="AB2" i="2" a="1"/>
  <c r="AB2" i="2" s="1"/>
  <c r="AA2" i="2" a="1"/>
  <c r="AA2" i="2" s="1"/>
  <c r="Z2" i="2" a="1"/>
  <c r="Z2" i="2" s="1"/>
  <c r="Y2" i="2" a="1"/>
  <c r="Y2" i="2" s="1"/>
  <c r="X2" i="2" a="1"/>
  <c r="X2" i="2" s="1"/>
  <c r="W2" i="2" a="1"/>
  <c r="W2" i="2" s="1"/>
  <c r="V2" i="2" a="1"/>
  <c r="V2" i="2" s="1"/>
  <c r="U2" i="2" a="1"/>
  <c r="U2" i="2" s="1"/>
  <c r="T2" i="2" a="1"/>
  <c r="T2" i="2" s="1"/>
  <c r="S2" i="2" a="1"/>
  <c r="S2" i="2" s="1"/>
  <c r="R2" i="2" a="1"/>
  <c r="R2" i="2" s="1"/>
  <c r="Q2" i="2" a="1"/>
  <c r="Q2" i="2" s="1"/>
  <c r="P2" i="2" a="1"/>
  <c r="P2" i="2" s="1"/>
  <c r="O2" i="2" a="1"/>
  <c r="O2" i="2" s="1"/>
  <c r="N2" i="2" a="1"/>
  <c r="N2" i="2" s="1"/>
  <c r="M2" i="2" a="1"/>
  <c r="M2" i="2" s="1"/>
  <c r="L2" i="2" a="1"/>
  <c r="L2" i="2" s="1"/>
  <c r="K2" i="2" a="1"/>
  <c r="K2" i="2" s="1"/>
  <c r="J2" i="2" a="1"/>
  <c r="J2" i="2" s="1"/>
  <c r="I2" i="2" a="1"/>
  <c r="I2" i="2" s="1"/>
  <c r="H2" i="2" a="1"/>
  <c r="H2" i="2" s="1"/>
  <c r="G2" i="2" a="1"/>
  <c r="G2" i="2" s="1"/>
  <c r="F2" i="2" a="1"/>
  <c r="F2" i="2" s="1"/>
  <c r="E2" i="2" a="1"/>
  <c r="E2" i="2" s="1"/>
  <c r="D2" i="2" a="1"/>
  <c r="D2" i="2" s="1"/>
  <c r="C2" i="2" a="1"/>
  <c r="C2" i="2" s="1"/>
  <c r="AL32" i="1" l="1"/>
  <c r="AL31" i="1"/>
  <c r="AL30" i="1"/>
  <c r="AG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I13" i="1" l="1"/>
  <c r="AJ13" i="1"/>
  <c r="AK13" i="1"/>
  <c r="AM13" i="1" a="1"/>
  <c r="AM13" i="1" s="1"/>
  <c r="AI14" i="1"/>
  <c r="AJ14" i="1"/>
  <c r="AK14" i="1"/>
  <c r="AM14" i="1" a="1"/>
  <c r="AM14" i="1" s="1"/>
  <c r="AI15" i="1"/>
  <c r="AJ15" i="1"/>
  <c r="AK15" i="1"/>
  <c r="AM15" i="1" a="1"/>
  <c r="AM15" i="1" s="1"/>
  <c r="AI20" i="1"/>
  <c r="AJ20" i="1"/>
  <c r="AK20" i="1"/>
  <c r="AM20" i="1" a="1"/>
  <c r="AM20" i="1" s="1"/>
  <c r="AI16" i="1"/>
  <c r="AJ16" i="1"/>
  <c r="AK16" i="1"/>
  <c r="AM16" i="1" a="1"/>
  <c r="AM16" i="1" s="1"/>
  <c r="AI17" i="1"/>
  <c r="AJ17" i="1"/>
  <c r="AK17" i="1"/>
  <c r="AM17" i="1" a="1"/>
  <c r="AM17" i="1" s="1"/>
  <c r="AI18" i="1"/>
  <c r="AJ18" i="1"/>
  <c r="AK18" i="1"/>
  <c r="AM18" i="1" a="1"/>
  <c r="AM18" i="1" s="1"/>
  <c r="AN18" i="1" s="1"/>
  <c r="AI21" i="1"/>
  <c r="AJ21" i="1"/>
  <c r="AK21" i="1"/>
  <c r="AM21" i="1" a="1"/>
  <c r="AM21" i="1" s="1"/>
  <c r="AI19" i="1"/>
  <c r="AJ19" i="1"/>
  <c r="AK19" i="1"/>
  <c r="AM19" i="1" a="1"/>
  <c r="AM19" i="1" s="1"/>
  <c r="AI22" i="1"/>
  <c r="AJ22" i="1"/>
  <c r="AK22" i="1"/>
  <c r="AM22" i="1" a="1"/>
  <c r="AM22" i="1" s="1"/>
  <c r="AI23" i="1"/>
  <c r="AJ23" i="1"/>
  <c r="AK23" i="1"/>
  <c r="AM23" i="1" a="1"/>
  <c r="AM23" i="1" s="1"/>
  <c r="AI24" i="1"/>
  <c r="AJ24" i="1"/>
  <c r="AK24" i="1"/>
  <c r="AM24" i="1" a="1"/>
  <c r="AM24" i="1" s="1"/>
  <c r="AI25" i="1"/>
  <c r="AJ25" i="1"/>
  <c r="AK25" i="1"/>
  <c r="AM25" i="1" a="1"/>
  <c r="AM25" i="1" s="1"/>
  <c r="AI26" i="1"/>
  <c r="AJ26" i="1"/>
  <c r="AK26" i="1"/>
  <c r="AM26" i="1" a="1"/>
  <c r="AM26" i="1" s="1"/>
  <c r="AI27" i="1"/>
  <c r="AJ27" i="1"/>
  <c r="AK27" i="1"/>
  <c r="AM27" i="1" a="1"/>
  <c r="AM27" i="1" s="1"/>
  <c r="AI28" i="1"/>
  <c r="AJ28" i="1"/>
  <c r="AK28" i="1"/>
  <c r="AM28" i="1" a="1"/>
  <c r="AM28" i="1" s="1"/>
  <c r="AN28" i="1" s="1"/>
  <c r="AI29" i="1"/>
  <c r="AJ29" i="1"/>
  <c r="AK29" i="1"/>
  <c r="AM29" i="1" a="1"/>
  <c r="AM29" i="1" s="1"/>
  <c r="AI30" i="1"/>
  <c r="AJ30" i="1"/>
  <c r="AK30" i="1"/>
  <c r="AM30" i="1" a="1"/>
  <c r="AM30" i="1" s="1"/>
  <c r="AI31" i="1"/>
  <c r="AJ31" i="1"/>
  <c r="AK31" i="1"/>
  <c r="AM31" i="1" a="1"/>
  <c r="AM31" i="1" s="1"/>
  <c r="AI32" i="1"/>
  <c r="AJ32" i="1"/>
  <c r="AK32" i="1"/>
  <c r="AM32" i="1" a="1"/>
  <c r="AM32" i="1" s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D49" i="1"/>
  <c r="D48" i="1"/>
  <c r="AN29" i="1" l="1"/>
  <c r="AN25" i="1"/>
  <c r="AN13" i="1"/>
  <c r="AN32" i="1"/>
  <c r="AN30" i="1"/>
  <c r="AN31" i="1"/>
  <c r="AN19" i="1"/>
  <c r="AN16" i="1"/>
  <c r="AN24" i="1"/>
  <c r="AN21" i="1"/>
  <c r="AN20" i="1"/>
  <c r="AN22" i="1"/>
  <c r="AN14" i="1"/>
  <c r="AN27" i="1"/>
  <c r="AN17" i="1"/>
  <c r="AN26" i="1"/>
  <c r="AN15" i="1"/>
  <c r="AN2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D46" i="1"/>
  <c r="D45" i="1"/>
  <c r="D44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D43" i="1"/>
  <c r="D42" i="1"/>
  <c r="D41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D40" i="1"/>
  <c r="D39" i="1"/>
  <c r="D38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D37" i="1"/>
  <c r="D36" i="1"/>
  <c r="D35" i="1"/>
  <c r="AG54" i="1" l="1"/>
  <c r="Q54" i="1"/>
  <c r="AE53" i="1"/>
  <c r="O53" i="1"/>
  <c r="AC52" i="1"/>
  <c r="M52" i="1"/>
  <c r="AH54" i="1"/>
  <c r="R54" i="1"/>
  <c r="AF53" i="1"/>
  <c r="P53" i="1"/>
  <c r="AD52" i="1"/>
  <c r="N52" i="1"/>
  <c r="S52" i="1"/>
  <c r="V54" i="1"/>
  <c r="F54" i="1"/>
  <c r="AH52" i="1"/>
  <c r="R52" i="1"/>
  <c r="D54" i="1"/>
  <c r="AG53" i="1"/>
  <c r="Q53" i="1"/>
  <c r="AE52" i="1"/>
  <c r="O52" i="1"/>
  <c r="N53" i="1"/>
  <c r="O54" i="1"/>
  <c r="M53" i="1"/>
  <c r="K52" i="1"/>
  <c r="AD54" i="1"/>
  <c r="AB53" i="1"/>
  <c r="Z52" i="1"/>
  <c r="AC54" i="1"/>
  <c r="M54" i="1"/>
  <c r="AA53" i="1"/>
  <c r="K53" i="1"/>
  <c r="Y52" i="1"/>
  <c r="I52" i="1"/>
  <c r="AD53" i="1"/>
  <c r="AE54" i="1"/>
  <c r="AC53" i="1"/>
  <c r="AA52" i="1"/>
  <c r="N54" i="1"/>
  <c r="L53" i="1"/>
  <c r="J52" i="1"/>
  <c r="AB54" i="1"/>
  <c r="L54" i="1"/>
  <c r="Z53" i="1"/>
  <c r="J53" i="1"/>
  <c r="X52" i="1"/>
  <c r="H52" i="1"/>
  <c r="P54" i="1"/>
  <c r="K54" i="1"/>
  <c r="W52" i="1"/>
  <c r="AF54" i="1"/>
  <c r="L52" i="1"/>
  <c r="Y53" i="1"/>
  <c r="G52" i="1"/>
  <c r="Z54" i="1"/>
  <c r="J54" i="1"/>
  <c r="X53" i="1"/>
  <c r="H53" i="1"/>
  <c r="V52" i="1"/>
  <c r="F52" i="1"/>
  <c r="Y54" i="1"/>
  <c r="I54" i="1"/>
  <c r="W53" i="1"/>
  <c r="G53" i="1"/>
  <c r="U52" i="1"/>
  <c r="E52" i="1"/>
  <c r="AB52" i="1"/>
  <c r="AA54" i="1"/>
  <c r="I53" i="1"/>
  <c r="X54" i="1"/>
  <c r="H54" i="1"/>
  <c r="V53" i="1"/>
  <c r="F53" i="1"/>
  <c r="S53" i="1"/>
  <c r="W54" i="1"/>
  <c r="G54" i="1"/>
  <c r="U53" i="1"/>
  <c r="E53" i="1"/>
  <c r="S54" i="1"/>
  <c r="D52" i="1"/>
  <c r="U54" i="1"/>
  <c r="E54" i="1"/>
  <c r="AG52" i="1"/>
  <c r="Q52" i="1"/>
  <c r="D53" i="1"/>
  <c r="AH53" i="1"/>
  <c r="R53" i="1"/>
  <c r="AF52" i="1"/>
  <c r="P52" i="1"/>
  <c r="T52" i="1"/>
  <c r="T53" i="1"/>
  <c r="T54" i="1"/>
  <c r="AM12" i="1" l="1" a="1"/>
  <c r="AM12" i="1" s="1"/>
  <c r="B8" i="1" l="1"/>
  <c r="AK12" i="1" l="1"/>
  <c r="AJ12" i="1"/>
  <c r="AI12" i="1"/>
  <c r="AN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Z12" authorId="0" shapeId="0" xr:uid="{68BA2B58-2A99-4DDB-9DFB-F7C39ABB958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Diễn tập A330</t>
        </r>
      </text>
    </comment>
    <comment ref="AB12" authorId="0" shapeId="0" xr:uid="{340CE9A1-C437-4214-A536-69B421D10D2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Diễn tập A330</t>
        </r>
      </text>
    </comment>
    <comment ref="AG12" authorId="0" shapeId="0" xr:uid="{F6F934B2-28DF-48C9-815C-B353B98F491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Diễn tập A330</t>
        </r>
      </text>
    </comment>
    <comment ref="Z13" authorId="0" shapeId="0" xr:uid="{177763DF-6468-4211-9A3B-A8F74705970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Diễn tập A330</t>
        </r>
      </text>
    </comment>
    <comment ref="AB13" authorId="0" shapeId="0" xr:uid="{22AD2481-6708-4622-A9D9-D45B3D03F73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Diễn tập A330</t>
        </r>
      </text>
    </comment>
    <comment ref="AG13" authorId="0" shapeId="0" xr:uid="{7C539514-E388-4731-BB82-B78502B87DE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Diễn tập A330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<sst xmlns="http://schemas.openxmlformats.org/spreadsheetml/2006/main" count="2613" uniqueCount="1603">
  <si>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</si>
  <si>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</si>
  <si>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</si>
  <si>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</si>
  <si>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</si>
  <si>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</si>
  <si>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</si>
  <si>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</si>
  <si>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</si>
  <si>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</si>
  <si>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</si>
  <si>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</si>
  <si>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</si>
  <si>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</si>
  <si>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T.Sáu</t>
  </si>
  <si>
    <t>T.Bảy</t>
  </si>
  <si>
    <t>C.Nhật</t>
  </si>
  <si>
    <t>T.Hai</t>
  </si>
  <si>
    <t>T.Ba</t>
  </si>
  <si>
    <t>T.Tư</t>
  </si>
  <si>
    <t>T.Năm</t>
  </si>
  <si>
    <t>Ca HC</t>
  </si>
  <si>
    <t>Ca M</t>
  </si>
  <si>
    <t>Ca E</t>
  </si>
  <si>
    <t>NL: Nghỉ lễ
P: Phép, B: Bù,
SN, T: Training</t>
  </si>
  <si>
    <t>DM</t>
  </si>
  <si>
    <t>030346</t>
  </si>
  <si>
    <t>Đàm Xuân Hiến</t>
  </si>
  <si>
    <t>E</t>
  </si>
  <si>
    <t>M</t>
  </si>
  <si>
    <t>HC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</si>
  <si>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</si>
  <si>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</si>
  <si>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</si>
  <si>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</si>
  <si>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</si>
  <si>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</si>
  <si>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</si>
  <si>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</si>
  <si>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DSP HDQ</t>
  </si>
  <si>
    <t>030904</t>
  </si>
  <si>
    <t>Trần Đình Đạt</t>
  </si>
  <si>
    <t>030905</t>
  </si>
  <si>
    <t>Nguyễn Trương Hoàng Hưng</t>
  </si>
  <si>
    <t>030906</t>
  </si>
  <si>
    <t>Vũ Hoàng Hải</t>
  </si>
  <si>
    <t>030841</t>
  </si>
  <si>
    <t>Vũ Hoàng Long</t>
  </si>
  <si>
    <t>DSP ASST HDQ</t>
  </si>
  <si>
    <t>039278</t>
  </si>
  <si>
    <t>Nguyền Kiều Huyền Chi</t>
  </si>
  <si>
    <t>039280</t>
  </si>
  <si>
    <t>Đặng Thảo Linh</t>
  </si>
  <si>
    <t>039276</t>
  </si>
  <si>
    <t>Bùi Việt Anh</t>
  </si>
  <si>
    <t>039274</t>
  </si>
  <si>
    <t>Đỗ Nam Anh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</si>
  <si>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</si>
  <si>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</si>
  <si>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</si>
  <si>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</si>
  <si>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</si>
  <si>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</si>
  <si>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</si>
  <si>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</si>
  <si>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</si>
  <si>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</si>
  <si>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</si>
  <si>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</si>
  <si>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</si>
  <si>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</si>
  <si>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</si>
  <si>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</si>
  <si>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</si>
  <si>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</si>
  <si>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</si>
  <si>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</si>
  <si>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Trainning</t>
  </si>
  <si>
    <t>Phê duyệt bởi</t>
  </si>
  <si>
    <t>Lập bảng bởi</t>
  </si>
  <si>
    <t>(Ký và ghi rõ họ tên)</t>
  </si>
  <si>
    <t>Vũ Quang Huy</t>
  </si>
  <si>
    <r>
      <t xml:space="preserve">Tháng </t>
    </r>
    <r>
      <rPr>
        <b/>
        <sz val="11"/>
        <color rgb="FFFF0000"/>
        <rFont val="Times New Roman"/>
        <family val="1"/>
      </rPr>
      <t>08</t>
    </r>
    <r>
      <rPr>
        <b/>
        <sz val="11"/>
        <color theme="1"/>
        <rFont val="Times New Roman"/>
        <family val="1"/>
      </rPr>
      <t>/2026</t>
    </r>
  </si>
  <si>
    <t>Duty Manager</t>
  </si>
  <si>
    <t>DSP ASS</t>
  </si>
  <si>
    <t>Check cơ cấu</t>
  </si>
  <si>
    <t>Total HDQ</t>
  </si>
  <si>
    <t>Hà Nội, ngày 20 tháng 07 năm 2026</t>
  </si>
  <si>
    <t>DSP PQC</t>
  </si>
  <si>
    <t>Nguyễn Xuân Tuyền</t>
  </si>
  <si>
    <t>041863</t>
  </si>
  <si>
    <t>041867</t>
  </si>
  <si>
    <t>041865</t>
  </si>
  <si>
    <t>Lê Ngọc Thành Tài</t>
  </si>
  <si>
    <t>Nguyễn Đức Lộc</t>
  </si>
  <si>
    <t>Phan Thành Nghĩa</t>
  </si>
  <si>
    <t>MÃ NV</t>
  </si>
  <si>
    <t>Họ và Tên NV</t>
  </si>
  <si>
    <t>Mã ca</t>
  </si>
  <si>
    <t>Tên ca</t>
  </si>
  <si>
    <t>Giờ quy định</t>
  </si>
  <si>
    <t>C496</t>
  </si>
  <si>
    <t>13:30-19:30</t>
  </si>
  <si>
    <t>C571</t>
  </si>
  <si>
    <t>10:30-17:30</t>
  </si>
  <si>
    <t>C339</t>
  </si>
  <si>
    <t>17:00-07:00</t>
  </si>
  <si>
    <t>C572</t>
  </si>
  <si>
    <t>08:30-16:00|12:00-14:30</t>
  </si>
  <si>
    <t>08:30-12:00-14:30-16:00</t>
  </si>
  <si>
    <t>C341</t>
  </si>
  <si>
    <t>12:30-17:00</t>
  </si>
  <si>
    <t>C342</t>
  </si>
  <si>
    <t>13:00-19:00</t>
  </si>
  <si>
    <t>C001</t>
  </si>
  <si>
    <t>12:00-20:00</t>
  </si>
  <si>
    <t>C343</t>
  </si>
  <si>
    <t>08:00-19:00</t>
  </si>
  <si>
    <t>C344</t>
  </si>
  <si>
    <t>08:30-18:00</t>
  </si>
  <si>
    <t>C002</t>
  </si>
  <si>
    <t>12:00-21:00</t>
  </si>
  <si>
    <t>C345</t>
  </si>
  <si>
    <t>08:00-17:30</t>
  </si>
  <si>
    <t>C573</t>
  </si>
  <si>
    <t>08:00-17:30|12:00-13:30</t>
  </si>
  <si>
    <t>08:00-12:00-13:30-17:30</t>
  </si>
  <si>
    <t>VP01</t>
  </si>
  <si>
    <t>08:00-17:00|12:00-13:00</t>
  </si>
  <si>
    <t>08:00-12:00-13:00-17:00</t>
  </si>
  <si>
    <t>C574</t>
  </si>
  <si>
    <t>11:00-20:00</t>
  </si>
  <si>
    <t>C348</t>
  </si>
  <si>
    <t>08:00-19:30</t>
  </si>
  <si>
    <t>C003</t>
  </si>
  <si>
    <t>13:00-21:00</t>
  </si>
  <si>
    <t>C004</t>
  </si>
  <si>
    <t>13:30-21:30</t>
  </si>
  <si>
    <t>C006</t>
  </si>
  <si>
    <t>14:00-02:00</t>
  </si>
  <si>
    <t>C007</t>
  </si>
  <si>
    <t>14:00-06:00</t>
  </si>
  <si>
    <t>C008</t>
  </si>
  <si>
    <t>14:00-21:00</t>
  </si>
  <si>
    <t>C009</t>
  </si>
  <si>
    <t>14:00-22:00</t>
  </si>
  <si>
    <t>C010</t>
  </si>
  <si>
    <t>15:00-23:00</t>
  </si>
  <si>
    <t>C011</t>
  </si>
  <si>
    <t>15:30-23:00</t>
  </si>
  <si>
    <t>C013</t>
  </si>
  <si>
    <t>17:00-02:00</t>
  </si>
  <si>
    <t>C015</t>
  </si>
  <si>
    <t>17:30-01:30</t>
  </si>
  <si>
    <t>C016</t>
  </si>
  <si>
    <t>17:30-02:30</t>
  </si>
  <si>
    <t>C017</t>
  </si>
  <si>
    <t>17:30-07:30</t>
  </si>
  <si>
    <t>C018</t>
  </si>
  <si>
    <t>18:00-02:00</t>
  </si>
  <si>
    <t>C019</t>
  </si>
  <si>
    <t>18:00-06:00</t>
  </si>
  <si>
    <t>C020</t>
  </si>
  <si>
    <t>18:00-22:00</t>
  </si>
  <si>
    <t>C021</t>
  </si>
  <si>
    <t>18:00-07:00</t>
  </si>
  <si>
    <t>C022</t>
  </si>
  <si>
    <t>18:30-02:30</t>
  </si>
  <si>
    <t>C023</t>
  </si>
  <si>
    <t>22:00-06:00</t>
  </si>
  <si>
    <t>C024</t>
  </si>
  <si>
    <t>22:00-10:00</t>
  </si>
  <si>
    <t>C025</t>
  </si>
  <si>
    <t>22:00-14:00</t>
  </si>
  <si>
    <t>C026</t>
  </si>
  <si>
    <t>06:00-14:00</t>
  </si>
  <si>
    <t>C607</t>
  </si>
  <si>
    <t>07:30-17:00|12:00-13:30</t>
  </si>
  <si>
    <t>07:30-12:00-13:30-17:00</t>
  </si>
  <si>
    <t>C028</t>
  </si>
  <si>
    <t>06:00-18:00</t>
  </si>
  <si>
    <t>C350</t>
  </si>
  <si>
    <t>09:00-17:00</t>
  </si>
  <si>
    <t>C030</t>
  </si>
  <si>
    <t>06:00-22:00</t>
  </si>
  <si>
    <t>C031</t>
  </si>
  <si>
    <t>06:00-23:59:59</t>
  </si>
  <si>
    <t>C032</t>
  </si>
  <si>
    <t>06:30-14:30</t>
  </si>
  <si>
    <t>C033</t>
  </si>
  <si>
    <t>06:30-16:30</t>
  </si>
  <si>
    <t>C034</t>
  </si>
  <si>
    <t>07:00-15:00</t>
  </si>
  <si>
    <t>C035</t>
  </si>
  <si>
    <t>07:00-16:00</t>
  </si>
  <si>
    <t>C351</t>
  </si>
  <si>
    <t>12:00-17:00</t>
  </si>
  <si>
    <t>C352</t>
  </si>
  <si>
    <t>12:00-17:30</t>
  </si>
  <si>
    <t>C353</t>
  </si>
  <si>
    <t>12:00-19:00</t>
  </si>
  <si>
    <t>C039</t>
  </si>
  <si>
    <t>07:30-15:00</t>
  </si>
  <si>
    <t>C040</t>
  </si>
  <si>
    <t>07:30-17:30</t>
  </si>
  <si>
    <t>C041</t>
  </si>
  <si>
    <t>07:30-18:00</t>
  </si>
  <si>
    <t>C042</t>
  </si>
  <si>
    <t>07:30-21:30</t>
  </si>
  <si>
    <t>C043</t>
  </si>
  <si>
    <t>08:00-16:00</t>
  </si>
  <si>
    <t>C044</t>
  </si>
  <si>
    <t>08:00-18:00</t>
  </si>
  <si>
    <t>C045</t>
  </si>
  <si>
    <t>C046</t>
  </si>
  <si>
    <t>09:00-17:30</t>
  </si>
  <si>
    <t>C047</t>
  </si>
  <si>
    <t>09:00-18:00</t>
  </si>
  <si>
    <t>C354</t>
  </si>
  <si>
    <t>12:00-19:30</t>
  </si>
  <si>
    <t>C049</t>
  </si>
  <si>
    <t>10:00-18:00</t>
  </si>
  <si>
    <t>C050</t>
  </si>
  <si>
    <t>10:00-20:30</t>
  </si>
  <si>
    <t>C051</t>
  </si>
  <si>
    <t>10:00-23:00</t>
  </si>
  <si>
    <t>C005</t>
  </si>
  <si>
    <t>13:30-22:00|18:00-18:30</t>
  </si>
  <si>
    <t>13:30-18:00-18:30-22:00</t>
  </si>
  <si>
    <t>C014</t>
  </si>
  <si>
    <t>17:00-08:00|22:00-22:30</t>
  </si>
  <si>
    <t>17:00-22:00-22:30-08:00</t>
  </si>
  <si>
    <t>C012</t>
  </si>
  <si>
    <t>17:00-00:59</t>
  </si>
  <si>
    <t>C052</t>
  </si>
  <si>
    <t>11:00-19:00</t>
  </si>
  <si>
    <t>C053</t>
  </si>
  <si>
    <t>08:00-21:00</t>
  </si>
  <si>
    <t>C054</t>
  </si>
  <si>
    <t>06:00-21:00</t>
  </si>
  <si>
    <t>C055</t>
  </si>
  <si>
    <t>18:00-23:00</t>
  </si>
  <si>
    <t>C056</t>
  </si>
  <si>
    <t>03:00-11:00</t>
  </si>
  <si>
    <t>C355</t>
  </si>
  <si>
    <t>C356</t>
  </si>
  <si>
    <t>12:30-19:00</t>
  </si>
  <si>
    <t>C357</t>
  </si>
  <si>
    <t>13:00-17:00</t>
  </si>
  <si>
    <t>C358</t>
  </si>
  <si>
    <t>13:00-17:30</t>
  </si>
  <si>
    <t>C061</t>
  </si>
  <si>
    <t>09:00-19:00</t>
  </si>
  <si>
    <t>C062</t>
  </si>
  <si>
    <t>09:30-21:30</t>
  </si>
  <si>
    <t>C063</t>
  </si>
  <si>
    <t>10:00-19:00</t>
  </si>
  <si>
    <t>C359</t>
  </si>
  <si>
    <t>C360</t>
  </si>
  <si>
    <t>13:00-19:30</t>
  </si>
  <si>
    <t>C066</t>
  </si>
  <si>
    <t>11:30-20:30</t>
  </si>
  <si>
    <t>C361</t>
  </si>
  <si>
    <t>16:30-00:30</t>
  </si>
  <si>
    <t>C068</t>
  </si>
  <si>
    <t>08:00-16:30</t>
  </si>
  <si>
    <t>C363</t>
  </si>
  <si>
    <t>12:00-20:30</t>
  </si>
  <si>
    <t>C364</t>
  </si>
  <si>
    <t>06:00-11:00</t>
  </si>
  <si>
    <t>C365</t>
  </si>
  <si>
    <t>11:00-18:00</t>
  </si>
  <si>
    <t>C074</t>
  </si>
  <si>
    <t>17:00-08:00</t>
  </si>
  <si>
    <t>C075</t>
  </si>
  <si>
    <t>08:00-17:00</t>
  </si>
  <si>
    <t>C366</t>
  </si>
  <si>
    <t>C575</t>
  </si>
  <si>
    <t>06:00-16:00|11:00-13:00</t>
  </si>
  <si>
    <t>06:00-11:00-13:00-16:00</t>
  </si>
  <si>
    <t>C078</t>
  </si>
  <si>
    <t>06:00-17:00</t>
  </si>
  <si>
    <t>C079</t>
  </si>
  <si>
    <t>09:30-18:30</t>
  </si>
  <si>
    <t>C576</t>
  </si>
  <si>
    <t>C460</t>
  </si>
  <si>
    <t>06:00-15:00</t>
  </si>
  <si>
    <t>C083</t>
  </si>
  <si>
    <t>08:30-17:00</t>
  </si>
  <si>
    <t>C578</t>
  </si>
  <si>
    <t>09:00-18:00|12:00-13:00</t>
  </si>
  <si>
    <t>09:00-12:00-13:00-18:00</t>
  </si>
  <si>
    <t>C085</t>
  </si>
  <si>
    <t>07:30-17:00</t>
  </si>
  <si>
    <t>C463</t>
  </si>
  <si>
    <t>05:30-14:00</t>
  </si>
  <si>
    <t>C464</t>
  </si>
  <si>
    <t>01:00-09:00</t>
  </si>
  <si>
    <t>C088</t>
  </si>
  <si>
    <t>08:30-12:00</t>
  </si>
  <si>
    <t>C089</t>
  </si>
  <si>
    <t>06:30-12:15</t>
  </si>
  <si>
    <t>C090</t>
  </si>
  <si>
    <t>12:15-18:00</t>
  </si>
  <si>
    <t>C091</t>
  </si>
  <si>
    <t>18:00-22:30</t>
  </si>
  <si>
    <t>C579</t>
  </si>
  <si>
    <t>C093</t>
  </si>
  <si>
    <t>15:00-22:30</t>
  </si>
  <si>
    <t>C465</t>
  </si>
  <si>
    <t>02:00-09:00</t>
  </si>
  <si>
    <t>C466</t>
  </si>
  <si>
    <t>01:10-09:10</t>
  </si>
  <si>
    <t>C096</t>
  </si>
  <si>
    <t>C097</t>
  </si>
  <si>
    <t>06:45-15:15</t>
  </si>
  <si>
    <t>C098</t>
  </si>
  <si>
    <t>07:30-16:00</t>
  </si>
  <si>
    <t>C099</t>
  </si>
  <si>
    <t>09:30-18:00</t>
  </si>
  <si>
    <t>C100</t>
  </si>
  <si>
    <t>11:00-19:30</t>
  </si>
  <si>
    <t>C101</t>
  </si>
  <si>
    <t>12:30-20:30</t>
  </si>
  <si>
    <t>C102</t>
  </si>
  <si>
    <t>13:00-21:30</t>
  </si>
  <si>
    <t>C103</t>
  </si>
  <si>
    <t>14:00-22:30</t>
  </si>
  <si>
    <t>C104</t>
  </si>
  <si>
    <t>22:00-06:30</t>
  </si>
  <si>
    <t>C105</t>
  </si>
  <si>
    <t>07:00-11:00</t>
  </si>
  <si>
    <t>C106</t>
  </si>
  <si>
    <t>09:00-15:00</t>
  </si>
  <si>
    <t>C107</t>
  </si>
  <si>
    <t>06:00-10:00</t>
  </si>
  <si>
    <t>C580</t>
  </si>
  <si>
    <t>15:45-00:15</t>
  </si>
  <si>
    <t>C109</t>
  </si>
  <si>
    <t>19:00-03:00</t>
  </si>
  <si>
    <t>C110</t>
  </si>
  <si>
    <t>07:00-14:00</t>
  </si>
  <si>
    <t>C111</t>
  </si>
  <si>
    <t>23:00-07:00</t>
  </si>
  <si>
    <t>C112</t>
  </si>
  <si>
    <t>22:00-07:00</t>
  </si>
  <si>
    <t>C113</t>
  </si>
  <si>
    <t>07:45-17:00</t>
  </si>
  <si>
    <t>C581</t>
  </si>
  <si>
    <t>09:00-21:30|13:30-17:30</t>
  </si>
  <si>
    <t>09:00-13:30-17:30-21:30</t>
  </si>
  <si>
    <t>C073</t>
  </si>
  <si>
    <t>08:00-12:00</t>
  </si>
  <si>
    <t>C582</t>
  </si>
  <si>
    <t>09:30-22:00|13:30-17:30</t>
  </si>
  <si>
    <t>09:30-13:30-17:30-22:00</t>
  </si>
  <si>
    <t>C362</t>
  </si>
  <si>
    <t>06:00-22:00|09:00-17:00</t>
  </si>
  <si>
    <t>06:00-09:00-17:00-22:00</t>
  </si>
  <si>
    <t>C577</t>
  </si>
  <si>
    <t>09:00-13:00</t>
  </si>
  <si>
    <t>C369</t>
  </si>
  <si>
    <t>13:30-22:00</t>
  </si>
  <si>
    <t>C116</t>
  </si>
  <si>
    <t>C583</t>
  </si>
  <si>
    <t>10:00-22:00|14:00-17:30</t>
  </si>
  <si>
    <t>10:00-14:00-17:30-22:00</t>
  </si>
  <si>
    <t>C147</t>
  </si>
  <si>
    <t>07:30-11:30</t>
  </si>
  <si>
    <t>C119</t>
  </si>
  <si>
    <t>14:30-22:30</t>
  </si>
  <si>
    <t>C349</t>
  </si>
  <si>
    <t>C374</t>
  </si>
  <si>
    <t>C375</t>
  </si>
  <si>
    <t>10:00-18:30</t>
  </si>
  <si>
    <t>C124</t>
  </si>
  <si>
    <t>C585</t>
  </si>
  <si>
    <t>17:00-01:00|20:00-20:30</t>
  </si>
  <si>
    <t>17:00-20:00-20:30-01:00</t>
  </si>
  <si>
    <t>C586</t>
  </si>
  <si>
    <t>10:00-18:00|11:00-11:30</t>
  </si>
  <si>
    <t>10:00-11:00-11:30-18:00</t>
  </si>
  <si>
    <t>C130</t>
  </si>
  <si>
    <t>07:30-15:30</t>
  </si>
  <si>
    <t>C587</t>
  </si>
  <si>
    <t>11:00-19:00|17:00-17:30</t>
  </si>
  <si>
    <t>11:00-17:00-17:30-19:00</t>
  </si>
  <si>
    <t>C588</t>
  </si>
  <si>
    <t>12:00-20:00|17:00-17:30</t>
  </si>
  <si>
    <t>12:00-17:00-17:30-20:00</t>
  </si>
  <si>
    <t>C608</t>
  </si>
  <si>
    <t>C609</t>
  </si>
  <si>
    <t>10:00-20:00|14:00-16:00</t>
  </si>
  <si>
    <t>10:00-14:00-16:00-20:00</t>
  </si>
  <si>
    <t>C615</t>
  </si>
  <si>
    <t>07:00-16:00|11:30-12:30</t>
  </si>
  <si>
    <t>07:00-11:30-12:30-16:00</t>
  </si>
  <si>
    <t>C610</t>
  </si>
  <si>
    <t>10:15-18:15</t>
  </si>
  <si>
    <t>C137</t>
  </si>
  <si>
    <t>10:30-18:30</t>
  </si>
  <si>
    <t>C138</t>
  </si>
  <si>
    <t>15:30-23:30</t>
  </si>
  <si>
    <t>C139</t>
  </si>
  <si>
    <t>23:30-07:30</t>
  </si>
  <si>
    <t>C611</t>
  </si>
  <si>
    <t>08:15-18:15</t>
  </si>
  <si>
    <t>C612</t>
  </si>
  <si>
    <t>08:00-18:15</t>
  </si>
  <si>
    <t>C142</t>
  </si>
  <si>
    <t>09:00-12:00</t>
  </si>
  <si>
    <t>C498</t>
  </si>
  <si>
    <t>10:00-20:00</t>
  </si>
  <si>
    <t>C144</t>
  </si>
  <si>
    <t>08:30-11:30</t>
  </si>
  <si>
    <t>C499</t>
  </si>
  <si>
    <t>20:00-08:00</t>
  </si>
  <si>
    <t>C146</t>
  </si>
  <si>
    <t>08:30-16:30</t>
  </si>
  <si>
    <t>C613</t>
  </si>
  <si>
    <t>16:15-00:15</t>
  </si>
  <si>
    <t>C614</t>
  </si>
  <si>
    <t>09:00-21:00|14:00-18:00</t>
  </si>
  <si>
    <t>09:00-14:00-18:00-21:00</t>
  </si>
  <si>
    <t>C150</t>
  </si>
  <si>
    <t>07:30-12:00</t>
  </si>
  <si>
    <t>C151</t>
  </si>
  <si>
    <t>08:00-11:30</t>
  </si>
  <si>
    <t>C152</t>
  </si>
  <si>
    <t>09:30-15:30</t>
  </si>
  <si>
    <t>C623</t>
  </si>
  <si>
    <t>06:00-14:30|10:30-11:00</t>
  </si>
  <si>
    <t>06:00-10:30-11:00-14:30</t>
  </si>
  <si>
    <t>C154</t>
  </si>
  <si>
    <t>06:30-10:30</t>
  </si>
  <si>
    <t>C518</t>
  </si>
  <si>
    <t>07:30-19:30</t>
  </si>
  <si>
    <t>19:30-07:30</t>
  </si>
  <si>
    <t>C520</t>
  </si>
  <si>
    <t>12:00-23:59:59</t>
  </si>
  <si>
    <t>C616</t>
  </si>
  <si>
    <t>09:00-18:00|12:30-13:30</t>
  </si>
  <si>
    <t>09:00-12:30-13:30-18:00</t>
  </si>
  <si>
    <t>C160</t>
  </si>
  <si>
    <t>05:30-13:30</t>
  </si>
  <si>
    <t>C624</t>
  </si>
  <si>
    <t>08:30-17:30|11:00-12:00</t>
  </si>
  <si>
    <t>08:30-11:00-12:00-17:30</t>
  </si>
  <si>
    <t>C162</t>
  </si>
  <si>
    <t>14:00-23:00</t>
  </si>
  <si>
    <t>C522</t>
  </si>
  <si>
    <t>08:15-16:15</t>
  </si>
  <si>
    <t>C617</t>
  </si>
  <si>
    <t>10:00-19:00|14:00-15:00</t>
  </si>
  <si>
    <t>10:00-14:00-15:00-19:00</t>
  </si>
  <si>
    <t>C618</t>
  </si>
  <si>
    <t>13:00-23:00|19:00-21:00</t>
  </si>
  <si>
    <t>13:00-19:00-21:00-23:00</t>
  </si>
  <si>
    <t>C166</t>
  </si>
  <si>
    <t>07:15-11:15</t>
  </si>
  <si>
    <t>C619</t>
  </si>
  <si>
    <t>14:30-23:00|19:00-19:30</t>
  </si>
  <si>
    <t>14:30-19:00-19:30-23:00</t>
  </si>
  <si>
    <t>C340</t>
  </si>
  <si>
    <t>17:00-06:00|22:00-22:30</t>
  </si>
  <si>
    <t>17:00-22:00-22:30-06:00</t>
  </si>
  <si>
    <t>C620</t>
  </si>
  <si>
    <t>14:30-23:00|17:00-17:30</t>
  </si>
  <si>
    <t>14:30-17:00-17:30-23:00</t>
  </si>
  <si>
    <t>C632</t>
  </si>
  <si>
    <t>13:15-18:15</t>
  </si>
  <si>
    <t>C171</t>
  </si>
  <si>
    <t>11:30-19:30</t>
  </si>
  <si>
    <t>C092</t>
  </si>
  <si>
    <t>06:30-15:00</t>
  </si>
  <si>
    <t>C526</t>
  </si>
  <si>
    <t>08:15-18:00</t>
  </si>
  <si>
    <t>C527</t>
  </si>
  <si>
    <t>09:15-18:00</t>
  </si>
  <si>
    <t>C621</t>
  </si>
  <si>
    <t>14:30-23:00|17:30-18:00</t>
  </si>
  <si>
    <t>14:30-17:30-18:00-23:00</t>
  </si>
  <si>
    <t>C622</t>
  </si>
  <si>
    <t>14:00-22:30|17:30-18:00</t>
  </si>
  <si>
    <t>14:00-17:30-18:00-22:30</t>
  </si>
  <si>
    <t>FLEX</t>
  </si>
  <si>
    <t>C346</t>
  </si>
  <si>
    <t>08:00-18:00|11:30-13:30</t>
  </si>
  <si>
    <t>08:00-11:30-13:30-18:00</t>
  </si>
  <si>
    <t>C347</t>
  </si>
  <si>
    <t>08:00-18:30|11:30-14:00</t>
  </si>
  <si>
    <t>08:00-11:30-14:00-18:30</t>
  </si>
  <si>
    <t>C625</t>
  </si>
  <si>
    <t>C626</t>
  </si>
  <si>
    <t>C627</t>
  </si>
  <si>
    <t>C584</t>
  </si>
  <si>
    <t>C589</t>
  </si>
  <si>
    <t>05:00-22:00|09:00-18:00</t>
  </si>
  <si>
    <t>05:00-09:00-18:00-22:00</t>
  </si>
  <si>
    <t>C590</t>
  </si>
  <si>
    <t>07:00-22:00|11:00-18:00</t>
  </si>
  <si>
    <t>07:00-11:00-18:00-22:00</t>
  </si>
  <si>
    <t>C591</t>
  </si>
  <si>
    <t>11:00-22:00</t>
  </si>
  <si>
    <t>C592</t>
  </si>
  <si>
    <t>06:30-18:00|10:30-14:00</t>
  </si>
  <si>
    <t>06:30-10:30-14:00-18:00</t>
  </si>
  <si>
    <t>C593</t>
  </si>
  <si>
    <t>05:30-14:00|09:30-10:00</t>
  </si>
  <si>
    <t>05:30-09:30-10:00-14:00</t>
  </si>
  <si>
    <t>C594</t>
  </si>
  <si>
    <t>06:00-14:30|10:00-10:30</t>
  </si>
  <si>
    <t>06:00-10:00-10:30-14:30</t>
  </si>
  <si>
    <t>C595</t>
  </si>
  <si>
    <t>06:30-15:00|10:30-11:00</t>
  </si>
  <si>
    <t>06:30-10:30-11:00-15:00</t>
  </si>
  <si>
    <t>C596</t>
  </si>
  <si>
    <t>06:45-15:15|10:45-11:15</t>
  </si>
  <si>
    <t>06:45-10:45-11:15-15:15</t>
  </si>
  <si>
    <t>C184</t>
  </si>
  <si>
    <t>06:30-16:00</t>
  </si>
  <si>
    <t>C185</t>
  </si>
  <si>
    <t>13:00-22:30</t>
  </si>
  <si>
    <t>C597</t>
  </si>
  <si>
    <t>07:00-15:30|11:00-11:30</t>
  </si>
  <si>
    <t>07:00-11:00-11:30-15:30</t>
  </si>
  <si>
    <t>C187</t>
  </si>
  <si>
    <t>08:00-11:00</t>
  </si>
  <si>
    <t>C598</t>
  </si>
  <si>
    <t>07:30-16:00|11:30-12:00</t>
  </si>
  <si>
    <t>07:30-11:30-12:00-16:00</t>
  </si>
  <si>
    <t>C599</t>
  </si>
  <si>
    <t>09:00-17:30|13:00-13:30</t>
  </si>
  <si>
    <t>09:00-13:00-13:30-17:30</t>
  </si>
  <si>
    <t>C600</t>
  </si>
  <si>
    <t>09:30-18:00|13:30-14:00</t>
  </si>
  <si>
    <t>09:30-13:30-14:00-18:00</t>
  </si>
  <si>
    <t>C191</t>
  </si>
  <si>
    <t>14:15-22:15</t>
  </si>
  <si>
    <t>C601</t>
  </si>
  <si>
    <t>10:30-19:00|14:30-15:00</t>
  </si>
  <si>
    <t>10:30-14:30-15:00-19:00</t>
  </si>
  <si>
    <t>C602</t>
  </si>
  <si>
    <t>11:00-19:30|15:00-15:30</t>
  </si>
  <si>
    <t>11:00-15:00-15:30-19:30</t>
  </si>
  <si>
    <t>C603</t>
  </si>
  <si>
    <t>11:30-20:00|15:30-16:00</t>
  </si>
  <si>
    <t>11:30-15:30-16:00-20:00</t>
  </si>
  <si>
    <t>C604</t>
  </si>
  <si>
    <t>12:30-21:00|16:30-17:00</t>
  </si>
  <si>
    <t>12:30-16:30-17:00-21:00</t>
  </si>
  <si>
    <t>C196</t>
  </si>
  <si>
    <t>09:30-17:30</t>
  </si>
  <si>
    <t>C197</t>
  </si>
  <si>
    <t>16:15-22:15</t>
  </si>
  <si>
    <t>C605</t>
  </si>
  <si>
    <t>13:00-21:30|17:00-17:30</t>
  </si>
  <si>
    <t>13:00-17:00-17:30-21:30</t>
  </si>
  <si>
    <t>C606</t>
  </si>
  <si>
    <t>05:00-21:00|09:00-17:00</t>
  </si>
  <si>
    <t>05:00-09:00-17:00-21:00</t>
  </si>
  <si>
    <t>C628</t>
  </si>
  <si>
    <t>09:00-22:00|13:00-18:00</t>
  </si>
  <si>
    <t>09:00-13:00-18:00-22:00</t>
  </si>
  <si>
    <t>C629</t>
  </si>
  <si>
    <t>09:30-22:00|13:30-18:00</t>
  </si>
  <si>
    <t>09:30-13:30-18:00-22:00</t>
  </si>
  <si>
    <t>C630</t>
  </si>
  <si>
    <t>06:30-17:00|10:30-13:30</t>
  </si>
  <si>
    <t>06:30-10:30-13:30-17:00</t>
  </si>
  <si>
    <t>C479</t>
  </si>
  <si>
    <t>11:00-23:00</t>
  </si>
  <si>
    <t>C481</t>
  </si>
  <si>
    <t>12:15-20:15</t>
  </si>
  <si>
    <t>C241</t>
  </si>
  <si>
    <t>16:00-00:01</t>
  </si>
  <si>
    <t>C483</t>
  </si>
  <si>
    <t>13:00-18:30</t>
  </si>
  <si>
    <t>C209</t>
  </si>
  <si>
    <t>06:45-14:55</t>
  </si>
  <si>
    <t>C484</t>
  </si>
  <si>
    <t>15:50-23:50</t>
  </si>
  <si>
    <t>C487</t>
  </si>
  <si>
    <t>07:00-17:00</t>
  </si>
  <si>
    <t>C488</t>
  </si>
  <si>
    <t>06:00-12:00</t>
  </si>
  <si>
    <t>C489</t>
  </si>
  <si>
    <t>06:00-13:00</t>
  </si>
  <si>
    <t>C490</t>
  </si>
  <si>
    <t>07:00-18:00</t>
  </si>
  <si>
    <t>C491</t>
  </si>
  <si>
    <t>07:00-18:30</t>
  </si>
  <si>
    <t>C492</t>
  </si>
  <si>
    <t>11:00-17:00</t>
  </si>
  <si>
    <t>C219</t>
  </si>
  <si>
    <t>19:00-07:00</t>
  </si>
  <si>
    <t>C220</t>
  </si>
  <si>
    <t>07:00-19:00</t>
  </si>
  <si>
    <t>C221</t>
  </si>
  <si>
    <t>07:00-15:30</t>
  </si>
  <si>
    <t>C222</t>
  </si>
  <si>
    <t>05:00-13:00</t>
  </si>
  <si>
    <t>C223</t>
  </si>
  <si>
    <t>06:30-18:30</t>
  </si>
  <si>
    <t>C224</t>
  </si>
  <si>
    <t>18:30-06:30</t>
  </si>
  <si>
    <t>C227</t>
  </si>
  <si>
    <t>08:30-19:30</t>
  </si>
  <si>
    <t>C502</t>
  </si>
  <si>
    <t>13:00-01:00</t>
  </si>
  <si>
    <t>C229</t>
  </si>
  <si>
    <t>15:00-22:00</t>
  </si>
  <si>
    <t>C230</t>
  </si>
  <si>
    <t>13:15-21:15</t>
  </si>
  <si>
    <t>C231</t>
  </si>
  <si>
    <t>13:15-20:15</t>
  </si>
  <si>
    <t>C503</t>
  </si>
  <si>
    <t>13:30-01:30</t>
  </si>
  <si>
    <t>C233</t>
  </si>
  <si>
    <t>C504</t>
  </si>
  <si>
    <t>06:45-18:45</t>
  </si>
  <si>
    <t>C505</t>
  </si>
  <si>
    <t>18:45-06:45</t>
  </si>
  <si>
    <t>C506</t>
  </si>
  <si>
    <t>05:00-17:00</t>
  </si>
  <si>
    <t>C507</t>
  </si>
  <si>
    <t>05:30-17:30</t>
  </si>
  <si>
    <t>C509</t>
  </si>
  <si>
    <t>10:00-22:00</t>
  </si>
  <si>
    <t>C511</t>
  </si>
  <si>
    <t>C512</t>
  </si>
  <si>
    <t>11:30-23:30</t>
  </si>
  <si>
    <t>C514</t>
  </si>
  <si>
    <t>17:00-06:00</t>
  </si>
  <si>
    <t>C631</t>
  </si>
  <si>
    <t>08:00-20:30|12:00-16:00</t>
  </si>
  <si>
    <t>08:00-12:00-16:00-20:30</t>
  </si>
  <si>
    <t>C633</t>
  </si>
  <si>
    <t>08:00-14:30</t>
  </si>
  <si>
    <t>OFF</t>
  </si>
  <si>
    <t/>
  </si>
  <si>
    <t>C515</t>
  </si>
  <si>
    <t>12:00-18:00</t>
  </si>
  <si>
    <t>C242</t>
  </si>
  <si>
    <t>21:00-05:30</t>
  </si>
  <si>
    <t>C255</t>
  </si>
  <si>
    <t>10:30-19:00</t>
  </si>
  <si>
    <t>C260</t>
  </si>
  <si>
    <t>13:30-22:30</t>
  </si>
  <si>
    <t>C419</t>
  </si>
  <si>
    <t>C420</t>
  </si>
  <si>
    <t>C263</t>
  </si>
  <si>
    <t>04:00-12:00</t>
  </si>
  <si>
    <t>C421</t>
  </si>
  <si>
    <t>00:00-08:00</t>
  </si>
  <si>
    <t>C422</t>
  </si>
  <si>
    <t>C423</t>
  </si>
  <si>
    <t>21:30-06:00</t>
  </si>
  <si>
    <t>C424</t>
  </si>
  <si>
    <t>13:00-22:00</t>
  </si>
  <si>
    <t>C268</t>
  </si>
  <si>
    <t>05:00-19:00</t>
  </si>
  <si>
    <t>C269</t>
  </si>
  <si>
    <t>06:00-20:00</t>
  </si>
  <si>
    <t>C270</t>
  </si>
  <si>
    <t>07:00-21:00</t>
  </si>
  <si>
    <t>C271</t>
  </si>
  <si>
    <t>07:15-12:15</t>
  </si>
  <si>
    <t>C272</t>
  </si>
  <si>
    <t>12:15-16:15</t>
  </si>
  <si>
    <t>C426</t>
  </si>
  <si>
    <t>13:00-18:00</t>
  </si>
  <si>
    <t>C275</t>
  </si>
  <si>
    <t>15:15-19:15</t>
  </si>
  <si>
    <t>C276</t>
  </si>
  <si>
    <t>C427</t>
  </si>
  <si>
    <t>13:00-20:00</t>
  </si>
  <si>
    <t>C278</t>
  </si>
  <si>
    <t>19:15-22:15</t>
  </si>
  <si>
    <t>C428</t>
  </si>
  <si>
    <t>00:30-08:30</t>
  </si>
  <si>
    <t>C429</t>
  </si>
  <si>
    <t>C430</t>
  </si>
  <si>
    <t>08:00-20:00</t>
  </si>
  <si>
    <t>C431</t>
  </si>
  <si>
    <t>09:00-20:00</t>
  </si>
  <si>
    <t>C432</t>
  </si>
  <si>
    <t>14:00-20:00</t>
  </si>
  <si>
    <t>C284</t>
  </si>
  <si>
    <t>12:45-17:45</t>
  </si>
  <si>
    <t>C285</t>
  </si>
  <si>
    <t>13:45-17:45</t>
  </si>
  <si>
    <t>C286</t>
  </si>
  <si>
    <t>04:30-12:30</t>
  </si>
  <si>
    <t>C287</t>
  </si>
  <si>
    <t>03:30-11:30</t>
  </si>
  <si>
    <t>C433</t>
  </si>
  <si>
    <t>08:30-14:30</t>
  </si>
  <si>
    <t>C434</t>
  </si>
  <si>
    <t>08:30-20:00</t>
  </si>
  <si>
    <t>C435</t>
  </si>
  <si>
    <t>C436</t>
  </si>
  <si>
    <t>13:30-20:00</t>
  </si>
  <si>
    <t>C437</t>
  </si>
  <si>
    <t>12:30-18:30</t>
  </si>
  <si>
    <t>C438</t>
  </si>
  <si>
    <t>08:00-18:30</t>
  </si>
  <si>
    <t>C439</t>
  </si>
  <si>
    <t>C441</t>
  </si>
  <si>
    <t>C295</t>
  </si>
  <si>
    <t>07:15-15:15</t>
  </si>
  <si>
    <t>C296</t>
  </si>
  <si>
    <t>15:15-23:15</t>
  </si>
  <si>
    <t>C297</t>
  </si>
  <si>
    <t>23:15-07:15</t>
  </si>
  <si>
    <t>C298</t>
  </si>
  <si>
    <t>07:15-19:15</t>
  </si>
  <si>
    <t>C299</t>
  </si>
  <si>
    <t>19:15-07:15</t>
  </si>
  <si>
    <t>C300</t>
  </si>
  <si>
    <t>05:30-14:30</t>
  </si>
  <si>
    <t>C301</t>
  </si>
  <si>
    <t>15:30-19:30</t>
  </si>
  <si>
    <t>C303</t>
  </si>
  <si>
    <t>09:00-12:30</t>
  </si>
  <si>
    <t>C304</t>
  </si>
  <si>
    <t>08:30-17:30</t>
  </si>
  <si>
    <t>C442</t>
  </si>
  <si>
    <t>C635</t>
  </si>
  <si>
    <t>06:45-18:00</t>
  </si>
  <si>
    <t>C307</t>
  </si>
  <si>
    <t>C308</t>
  </si>
  <si>
    <t>06:30-17:30</t>
  </si>
  <si>
    <t>C309</t>
  </si>
  <si>
    <t>06:00-16:00</t>
  </si>
  <si>
    <t>C310</t>
  </si>
  <si>
    <t>06:00-14:30</t>
  </si>
  <si>
    <t>C444</t>
  </si>
  <si>
    <t>C312</t>
  </si>
  <si>
    <t>14:30-23:00</t>
  </si>
  <si>
    <t>C313</t>
  </si>
  <si>
    <t>07:00-16:30</t>
  </si>
  <si>
    <t>C445</t>
  </si>
  <si>
    <t>08:30-19:00</t>
  </si>
  <si>
    <t>C315</t>
  </si>
  <si>
    <t>07:00-17:30</t>
  </si>
  <si>
    <t>C636</t>
  </si>
  <si>
    <t>C317</t>
  </si>
  <si>
    <t>07:30-16:30</t>
  </si>
  <si>
    <t>C318</t>
  </si>
  <si>
    <t>06:30-15:30</t>
  </si>
  <si>
    <t>C319</t>
  </si>
  <si>
    <t>C320</t>
  </si>
  <si>
    <t>C321</t>
  </si>
  <si>
    <t>08:00-15:00</t>
  </si>
  <si>
    <t>C322</t>
  </si>
  <si>
    <t>08:30-15:30</t>
  </si>
  <si>
    <t>C323</t>
  </si>
  <si>
    <t>10:00-17:00</t>
  </si>
  <si>
    <t>C324</t>
  </si>
  <si>
    <t>09:30-16:30</t>
  </si>
  <si>
    <t>C447</t>
  </si>
  <si>
    <t>08:00-13:00</t>
  </si>
  <si>
    <t>C448</t>
  </si>
  <si>
    <t>17:00-22:00</t>
  </si>
  <si>
    <t>C449</t>
  </si>
  <si>
    <t>C450</t>
  </si>
  <si>
    <t>08:00-14:00</t>
  </si>
  <si>
    <t>C451</t>
  </si>
  <si>
    <t>16:00-20:00</t>
  </si>
  <si>
    <t>C330</t>
  </si>
  <si>
    <t>12:30-21:00</t>
  </si>
  <si>
    <t>C331</t>
  </si>
  <si>
    <t>09:00-21:00</t>
  </si>
  <si>
    <t>C332</t>
  </si>
  <si>
    <t>15:00-23:30</t>
  </si>
  <si>
    <t>C333</t>
  </si>
  <si>
    <t>23:59-08:00</t>
  </si>
  <si>
    <t>C452</t>
  </si>
  <si>
    <t>12:30-16:30</t>
  </si>
  <si>
    <t>C335</t>
  </si>
  <si>
    <t>C453</t>
  </si>
  <si>
    <t>12:00-16:00</t>
  </si>
  <si>
    <t>C337</t>
  </si>
  <si>
    <t>11:30-20:00</t>
  </si>
  <si>
    <t>C338</t>
  </si>
  <si>
    <t>07:30-14:30</t>
  </si>
  <si>
    <t>C454</t>
  </si>
  <si>
    <t>09:00-16:00</t>
  </si>
  <si>
    <t>C455</t>
  </si>
  <si>
    <t>10:00-16:00</t>
  </si>
  <si>
    <t>VB02</t>
  </si>
  <si>
    <t>08:30-12:30</t>
  </si>
  <si>
    <t>VP02</t>
  </si>
  <si>
    <t>08:30-17:30|12:00-13:00</t>
  </si>
  <si>
    <t>08:30-12:00-13:00-17:30</t>
  </si>
  <si>
    <t>C027</t>
  </si>
  <si>
    <t>06:00-14:30|11:30-12:00</t>
  </si>
  <si>
    <t>06:00-11:30-12:00-14:30</t>
  </si>
  <si>
    <t>C029</t>
  </si>
  <si>
    <t>06:00-18:30|11:30-13:30</t>
  </si>
  <si>
    <t>06:00-11:30-13:30-18:30</t>
  </si>
  <si>
    <t>C036</t>
  </si>
  <si>
    <t>07:00-17:00|11:00-13:00</t>
  </si>
  <si>
    <t>07:00-11:00-13:00-17:00</t>
  </si>
  <si>
    <t>C037</t>
  </si>
  <si>
    <t>07:00-17:30|11:30-13:30</t>
  </si>
  <si>
    <t>07:00-11:30-13:30-17:30</t>
  </si>
  <si>
    <t>C038</t>
  </si>
  <si>
    <t>07:00-18:00|11:30-12:00</t>
  </si>
  <si>
    <t>07:00-11:30-12:00-18:00</t>
  </si>
  <si>
    <t>C048</t>
  </si>
  <si>
    <t>09:00-19:00|12:00-14:00</t>
  </si>
  <si>
    <t>09:00-12:00-14:00-19:00</t>
  </si>
  <si>
    <t>C057</t>
  </si>
  <si>
    <t>05:00-17:00|09:00-13:00</t>
  </si>
  <si>
    <t>05:00-09:00-13:00-17:00</t>
  </si>
  <si>
    <t>C058</t>
  </si>
  <si>
    <t>05:00-18:00|09:00-14:00</t>
  </si>
  <si>
    <t>05:00-09:00-14:00-18:00</t>
  </si>
  <si>
    <t>C059</t>
  </si>
  <si>
    <t>06:00-17:00|10:00-13:00</t>
  </si>
  <si>
    <t>06:00-10:00-13:00-17:00</t>
  </si>
  <si>
    <t>C060</t>
  </si>
  <si>
    <t>06:00-18:00|10:00-14:00</t>
  </si>
  <si>
    <t>06:00-10:00-14:00-18:00</t>
  </si>
  <si>
    <t>C064</t>
  </si>
  <si>
    <t>10:00-21:00|14:00-17:00</t>
  </si>
  <si>
    <t>10:00-14:00-17:00-21:00</t>
  </si>
  <si>
    <t>C065</t>
  </si>
  <si>
    <t>10:00-22:00|14:00-17:00</t>
  </si>
  <si>
    <t>10:00-14:00-17:00-22:00</t>
  </si>
  <si>
    <t>C067</t>
  </si>
  <si>
    <t>07:30-17:00|11:30-13:00</t>
  </si>
  <si>
    <t>07:30-11:30-13:00-17:00</t>
  </si>
  <si>
    <t>C069</t>
  </si>
  <si>
    <t>08:00-17:00|12:00-13:30</t>
  </si>
  <si>
    <t>08:00-12:00-13:30-17:00</t>
  </si>
  <si>
    <t>C302</t>
  </si>
  <si>
    <t>C070</t>
  </si>
  <si>
    <t>C071</t>
  </si>
  <si>
    <t>09:00-18:00|12:00-13:30</t>
  </si>
  <si>
    <t>09:00-12:00-13:30-18:00</t>
  </si>
  <si>
    <t>C076</t>
  </si>
  <si>
    <t>07:30-17:30|11:30-13:30</t>
  </si>
  <si>
    <t>07:30-11:30-13:30-17:30</t>
  </si>
  <si>
    <t>C077</t>
  </si>
  <si>
    <t>C080</t>
  </si>
  <si>
    <t>C081</t>
  </si>
  <si>
    <t>C082</t>
  </si>
  <si>
    <t>08:30-17:00|12:00-12:30</t>
  </si>
  <si>
    <t>08:30-12:00-12:30-17:00</t>
  </si>
  <si>
    <t>C084</t>
  </si>
  <si>
    <t>C086</t>
  </si>
  <si>
    <t>06:30-17:30|10:30-13:30</t>
  </si>
  <si>
    <t>06:30-10:30-13:30-17:30</t>
  </si>
  <si>
    <t>C094</t>
  </si>
  <si>
    <t>08:30-16:30|12:00-13:00</t>
  </si>
  <si>
    <t>08:30-12:00-13:00-16:30</t>
  </si>
  <si>
    <t>C095</t>
  </si>
  <si>
    <t>07:00-16:00|12:00-13:00</t>
  </si>
  <si>
    <t>07:00-12:00-13:00-16:00</t>
  </si>
  <si>
    <t>C108</t>
  </si>
  <si>
    <t>06:00-15:00|12:00-13:00</t>
  </si>
  <si>
    <t>06:00-12:00-13:00-15:00</t>
  </si>
  <si>
    <t>C114</t>
  </si>
  <si>
    <t>07:45-17:00|11:45-13:00</t>
  </si>
  <si>
    <t>07:45-11:45-13:00-17:00</t>
  </si>
  <si>
    <t>C115</t>
  </si>
  <si>
    <t>C117</t>
  </si>
  <si>
    <t>10:00-22:00|14:30-17:30</t>
  </si>
  <si>
    <t>10:00-14:30-17:30-22:00</t>
  </si>
  <si>
    <t>C118</t>
  </si>
  <si>
    <t>06:00-22:00|09:30-17:30</t>
  </si>
  <si>
    <t>06:00-09:30-17:30-22:00</t>
  </si>
  <si>
    <t>C120</t>
  </si>
  <si>
    <t>C121</t>
  </si>
  <si>
    <t>07:00-18:30|11:00-14:30</t>
  </si>
  <si>
    <t>07:00-11:00-14:30-18:30</t>
  </si>
  <si>
    <t>C122</t>
  </si>
  <si>
    <t>07:00-18:00|11:00-14:00</t>
  </si>
  <si>
    <t>07:00-11:00-14:00-18:00</t>
  </si>
  <si>
    <t>C123</t>
  </si>
  <si>
    <t>07:00-17:30|11:00-13:30</t>
  </si>
  <si>
    <t>07:00-11:00-13:30-17:30</t>
  </si>
  <si>
    <t>C125</t>
  </si>
  <si>
    <t>07:30-18:30|11:30-14:30</t>
  </si>
  <si>
    <t>07:30-11:30-14:30-18:30</t>
  </si>
  <si>
    <t>C126</t>
  </si>
  <si>
    <t>07:30-22:30|11:30-18:30</t>
  </si>
  <si>
    <t>07:30-11:30-18:30-22:30</t>
  </si>
  <si>
    <t>C127</t>
  </si>
  <si>
    <t>07:30-21:00|11:00-16:30</t>
  </si>
  <si>
    <t>07:30-11:00-16:30-21:00</t>
  </si>
  <si>
    <t>C128</t>
  </si>
  <si>
    <t>07:30-20:00|12:00-16:30</t>
  </si>
  <si>
    <t>07:30-12:00-16:30-20:00</t>
  </si>
  <si>
    <t>C129</t>
  </si>
  <si>
    <t>07:30-22:00|11:30-18:00</t>
  </si>
  <si>
    <t>07:30-11:30-18:00-22:00</t>
  </si>
  <si>
    <t>C131</t>
  </si>
  <si>
    <t>08:00-20:00|11:00-15:00</t>
  </si>
  <si>
    <t>08:00-11:00-15:00-20:00</t>
  </si>
  <si>
    <t>C132</t>
  </si>
  <si>
    <t>08:00-22:30|12:00-18:30</t>
  </si>
  <si>
    <t>08:00-12:00-18:30-22:30</t>
  </si>
  <si>
    <t>C133</t>
  </si>
  <si>
    <t>08:00-18:00|12:00-14:00</t>
  </si>
  <si>
    <t>08:00-12:00-14:00-18:00</t>
  </si>
  <si>
    <t>C134</t>
  </si>
  <si>
    <t>08:00-18:30|12:00-14:30</t>
  </si>
  <si>
    <t>08:00-12:00-14:30-18:30</t>
  </si>
  <si>
    <t>C135</t>
  </si>
  <si>
    <t>08:00-20:30|11:30-16:00</t>
  </si>
  <si>
    <t>08:00-11:30-16:00-20:30</t>
  </si>
  <si>
    <t>C136</t>
  </si>
  <si>
    <t>08:00-23:00|12:00-19:00</t>
  </si>
  <si>
    <t>08:00-12:00-19:00-23:00</t>
  </si>
  <si>
    <t>C140</t>
  </si>
  <si>
    <t>08:30-17:30|11:30-13:30</t>
  </si>
  <si>
    <t>08:30-11:30-13:30-17:30</t>
  </si>
  <si>
    <t>C141</t>
  </si>
  <si>
    <t>09:00-17:00|12:00-13:00</t>
  </si>
  <si>
    <t>09:00-12:00-13:00-17:00</t>
  </si>
  <si>
    <t>C143</t>
  </si>
  <si>
    <t>08:00-16:00|12:00-13:00</t>
  </si>
  <si>
    <t>08:00-12:00-13:00-16:00</t>
  </si>
  <si>
    <t>C145</t>
  </si>
  <si>
    <t>C148</t>
  </si>
  <si>
    <t>C149</t>
  </si>
  <si>
    <t>07:00-16:00|11:00-12:00</t>
  </si>
  <si>
    <t>07:00-11:00-12:00-16:00</t>
  </si>
  <si>
    <t>C153</t>
  </si>
  <si>
    <t>06:30-15:30|12:00-13:00</t>
  </si>
  <si>
    <t>06:30-12:00-13:00-15:30</t>
  </si>
  <si>
    <t>C155</t>
  </si>
  <si>
    <t>08:00-19:00|12:01-14:59</t>
  </si>
  <si>
    <t>08:00-12:01-14:59-19:00</t>
  </si>
  <si>
    <t>C156</t>
  </si>
  <si>
    <t>07:30-21:30|10:30-16:30</t>
  </si>
  <si>
    <t>07:30-10:30-16:30-21:30</t>
  </si>
  <si>
    <t>C157</t>
  </si>
  <si>
    <t>08:00-21:00|12:00-17:00</t>
  </si>
  <si>
    <t>08:00-12:00-17:00-21:00</t>
  </si>
  <si>
    <t>C158</t>
  </si>
  <si>
    <t>07:30-22:00|11:00-17:30</t>
  </si>
  <si>
    <t>07:30-11:00-17:30-22:00</t>
  </si>
  <si>
    <t>C159</t>
  </si>
  <si>
    <t>07:30-19:00|11:00-14:30</t>
  </si>
  <si>
    <t>07:30-11:00-14:30-19:00</t>
  </si>
  <si>
    <t>C161</t>
  </si>
  <si>
    <t>13:30-22:00|17:30-18:00</t>
  </si>
  <si>
    <t>13:30-17:30-18:00-22:00</t>
  </si>
  <si>
    <t>C163</t>
  </si>
  <si>
    <t>08:00-20:30|12:00-16:30</t>
  </si>
  <si>
    <t>08:00-12:00-16:30-20:30</t>
  </si>
  <si>
    <t>C164</t>
  </si>
  <si>
    <t>07:30-20:30|11:30-16:30</t>
  </si>
  <si>
    <t>07:30-11:30-16:30-20:30</t>
  </si>
  <si>
    <t>C165</t>
  </si>
  <si>
    <t>07:15-16:15|12:00-13:00</t>
  </si>
  <si>
    <t>07:15-12:00-13:00-16:15</t>
  </si>
  <si>
    <t>C167</t>
  </si>
  <si>
    <t>C168</t>
  </si>
  <si>
    <t>07:00-17:00|11:30-13:30</t>
  </si>
  <si>
    <t>07:00-11:30-13:30-17:00</t>
  </si>
  <si>
    <t>C169</t>
  </si>
  <si>
    <t>09:00-21:00|12:00-16:00</t>
  </si>
  <si>
    <t>09:00-12:00-16:00-21:00</t>
  </si>
  <si>
    <t>C170</t>
  </si>
  <si>
    <t>09:00-22:00|12:00-17:00</t>
  </si>
  <si>
    <t>09:00-12:00-17:00-22:00</t>
  </si>
  <si>
    <t>C172</t>
  </si>
  <si>
    <t>08:30-22:30|12:30-18:30</t>
  </si>
  <si>
    <t>08:30-12:30-18:30-22:30</t>
  </si>
  <si>
    <t>C173</t>
  </si>
  <si>
    <t>09:00-22:30|12:00-17:30</t>
  </si>
  <si>
    <t>09:00-12:00-17:30-22:30</t>
  </si>
  <si>
    <t>C174</t>
  </si>
  <si>
    <t>09:00-21:00|13:00-17:00</t>
  </si>
  <si>
    <t>09:00-13:00-17:00-21:00</t>
  </si>
  <si>
    <t>C175</t>
  </si>
  <si>
    <t>09:00-22:30|14:30-20:00</t>
  </si>
  <si>
    <t>09:00-14:30-20:00-22:30</t>
  </si>
  <si>
    <t>C176</t>
  </si>
  <si>
    <t>09:00-22:30|11:30-17:00</t>
  </si>
  <si>
    <t>09:00-11:30-17:00-22:30</t>
  </si>
  <si>
    <t>C177</t>
  </si>
  <si>
    <t>11:30-22:30|14:00-17:00</t>
  </si>
  <si>
    <t>11:30-14:00-17:00-22:30</t>
  </si>
  <si>
    <t>C178</t>
  </si>
  <si>
    <t>09:00-22:30|13:00-18:30</t>
  </si>
  <si>
    <t>09:00-13:00-18:30-22:30</t>
  </si>
  <si>
    <t>C179</t>
  </si>
  <si>
    <t>08:30-18:30|12:30-14:30</t>
  </si>
  <si>
    <t>08:30-12:30-14:30-18:30</t>
  </si>
  <si>
    <t>C180</t>
  </si>
  <si>
    <t>08:30-20:30|12:00-16:30</t>
  </si>
  <si>
    <t>08:30-12:00-16:30-20:30</t>
  </si>
  <si>
    <t>C181</t>
  </si>
  <si>
    <t>07:00-19:00|11:00-15:00</t>
  </si>
  <si>
    <t>07:00-11:00-15:00-19:00</t>
  </si>
  <si>
    <t>C182</t>
  </si>
  <si>
    <t>07:00-20:00|11:00-16:00</t>
  </si>
  <si>
    <t>07:00-11:00-16:00-20:00</t>
  </si>
  <si>
    <t>C183</t>
  </si>
  <si>
    <t>C186</t>
  </si>
  <si>
    <t>07:30-16:00|11:30-13:00</t>
  </si>
  <si>
    <t>07:30-11:30-13:00-16:00</t>
  </si>
  <si>
    <t>C188</t>
  </si>
  <si>
    <t>C189</t>
  </si>
  <si>
    <t>08:00-16:30|12:00-12:30</t>
  </si>
  <si>
    <t>08:00-12:00-12:30-16:30</t>
  </si>
  <si>
    <t>C190</t>
  </si>
  <si>
    <t>09:00-17:30|12:00-13:30</t>
  </si>
  <si>
    <t>09:00-12:00-13:30-17:30</t>
  </si>
  <si>
    <t>C192</t>
  </si>
  <si>
    <t>07:00-21:00|11:00-17:00</t>
  </si>
  <si>
    <t>07:00-11:00-17:00-21:00</t>
  </si>
  <si>
    <t>C193</t>
  </si>
  <si>
    <t>08:00-16:30|11:30-13:00</t>
  </si>
  <si>
    <t>08:00-11:30-13:00-16:30</t>
  </si>
  <si>
    <t>C194</t>
  </si>
  <si>
    <t>07:30-16:30|12:00-13:00</t>
  </si>
  <si>
    <t>07:30-12:00-13:00-16:30</t>
  </si>
  <si>
    <t>C195</t>
  </si>
  <si>
    <t>C198</t>
  </si>
  <si>
    <t>09:30-17:30|12:00-13:00</t>
  </si>
  <si>
    <t>09:30-12:00-13:00-17:30</t>
  </si>
  <si>
    <t>C199</t>
  </si>
  <si>
    <t>08:30-17:30|12:30-13:30</t>
  </si>
  <si>
    <t>08:30-12:30-13:30-17:30</t>
  </si>
  <si>
    <t>C200</t>
  </si>
  <si>
    <t>06:30-16:00|11:30-13:00</t>
  </si>
  <si>
    <t>06:30-11:30-13:00-16:00</t>
  </si>
  <si>
    <t>C201</t>
  </si>
  <si>
    <t>13:00-17:00|18:30-22:30</t>
  </si>
  <si>
    <t>13:00-18:30-22:30-17:00</t>
  </si>
  <si>
    <t>C202</t>
  </si>
  <si>
    <t>09:00-18:30|12:00-13:30</t>
  </si>
  <si>
    <t>09:00-12:00-13:30-18:30</t>
  </si>
  <si>
    <t>C203</t>
  </si>
  <si>
    <t>16:00-00:30|20:00-20:30</t>
  </si>
  <si>
    <t>16:00-20:00-20:30-00:30</t>
  </si>
  <si>
    <t>C204</t>
  </si>
  <si>
    <t>00:00-08:30|04:00-04:30</t>
  </si>
  <si>
    <t>00:00-04:00-04:30-08:30</t>
  </si>
  <si>
    <t>C205</t>
  </si>
  <si>
    <t>08:00-22:15|12:00-18:15</t>
  </si>
  <si>
    <t>08:00-12:00-18:15-22:15</t>
  </si>
  <si>
    <t>C206</t>
  </si>
  <si>
    <t>09:00-22:15|13:00-18:15</t>
  </si>
  <si>
    <t>09:00-13:00-18:15-22:15</t>
  </si>
  <si>
    <t>C207</t>
  </si>
  <si>
    <t>08:00-17:00|12:00-14:00</t>
  </si>
  <si>
    <t>08:00-12:00-14:00-17:00</t>
  </si>
  <si>
    <t>C208</t>
  </si>
  <si>
    <t>05:30-19:00|09:30-15:00</t>
  </si>
  <si>
    <t>05:30-09:30-15:00-19:00</t>
  </si>
  <si>
    <t>C210</t>
  </si>
  <si>
    <t>07:00-15:30|12:00-12:30</t>
  </si>
  <si>
    <t>07:00-12:00-12:30-15:30</t>
  </si>
  <si>
    <t>C211</t>
  </si>
  <si>
    <t>15:00-23:30|19:00-19:30</t>
  </si>
  <si>
    <t>15:00-19:00-19:30-23:30</t>
  </si>
  <si>
    <t>C637</t>
  </si>
  <si>
    <t>C213</t>
  </si>
  <si>
    <t>05:00-16:00|10:00-13:00</t>
  </si>
  <si>
    <t>05:00-10:00-13:00-16:00</t>
  </si>
  <si>
    <t>C214</t>
  </si>
  <si>
    <t>07:30-17:30|12:00-13:00</t>
  </si>
  <si>
    <t>07:30-12:00-13:00-17:30</t>
  </si>
  <si>
    <t>C215</t>
  </si>
  <si>
    <t>09:30-22:00|14:00-18:00</t>
  </si>
  <si>
    <t>09:30-14:00-18:00-22:00</t>
  </si>
  <si>
    <t>C216</t>
  </si>
  <si>
    <t>08:00-19:00|13:00-16:00</t>
  </si>
  <si>
    <t>08:00-13:00-16:00-19:00</t>
  </si>
  <si>
    <t>C217</t>
  </si>
  <si>
    <t>06:00-22:00|10:00-18:00</t>
  </si>
  <si>
    <t>06:00-10:00-18:00-22:00</t>
  </si>
  <si>
    <t>C218</t>
  </si>
  <si>
    <t>06:00-17:30|11:00-14:30</t>
  </si>
  <si>
    <t>06:00-11:00-14:30-17:30</t>
  </si>
  <si>
    <t>C225</t>
  </si>
  <si>
    <t>08:30-18:00|12:00-13:30</t>
  </si>
  <si>
    <t>08:30-12:00-13:30-18:00</t>
  </si>
  <si>
    <t>C226</t>
  </si>
  <si>
    <t>09:30-19:00|12:00-13:30</t>
  </si>
  <si>
    <t>09:30-12:00-13:30-19:00</t>
  </si>
  <si>
    <t>C228</t>
  </si>
  <si>
    <t>07:30-13:30|12:00-13:30</t>
  </si>
  <si>
    <t>07:30-12:00-13:30-13:30</t>
  </si>
  <si>
    <t>C232</t>
  </si>
  <si>
    <t>13:00-22:30|17:00-18:30</t>
  </si>
  <si>
    <t>13:00-17:00-18:30-22:30</t>
  </si>
  <si>
    <t>C234</t>
  </si>
  <si>
    <t>06:00-17:30|10:00-13:30</t>
  </si>
  <si>
    <t>06:00-10:00-13:30-17:30</t>
  </si>
  <si>
    <t>C235</t>
  </si>
  <si>
    <t>06:30-17:30|11:00-14:00</t>
  </si>
  <si>
    <t>06:30-11:00-14:00-17:30</t>
  </si>
  <si>
    <t>C236</t>
  </si>
  <si>
    <t>08:30-18:30|12:00-13:00</t>
  </si>
  <si>
    <t>08:30-12:00-13:00-18:30</t>
  </si>
  <si>
    <t>C237</t>
  </si>
  <si>
    <t>C238</t>
  </si>
  <si>
    <t>08:30-19:30|12:30-15:30</t>
  </si>
  <si>
    <t>08:30-12:30-15:30-19:30</t>
  </si>
  <si>
    <t>C239</t>
  </si>
  <si>
    <t>07:00-15:30|11:30-12:00</t>
  </si>
  <si>
    <t>07:00-11:30-12:00-15:30</t>
  </si>
  <si>
    <t>C240</t>
  </si>
  <si>
    <t>19:00-03:30|00:00-00:30</t>
  </si>
  <si>
    <t>19:00-00:00-00:30-03:30</t>
  </si>
  <si>
    <t>C243</t>
  </si>
  <si>
    <t>06:30-17:00|10:30-13:00</t>
  </si>
  <si>
    <t>06:30-10:30-13:00-17:00</t>
  </si>
  <si>
    <t>C244</t>
  </si>
  <si>
    <t>06:30-21:00|10:30-17:00</t>
  </si>
  <si>
    <t>06:30-10:30-17:00-21:00</t>
  </si>
  <si>
    <t>C245</t>
  </si>
  <si>
    <t>06:30-17:00|11:00-13:30</t>
  </si>
  <si>
    <t>06:30-11:00-13:30-17:00</t>
  </si>
  <si>
    <t>C246</t>
  </si>
  <si>
    <t>07:00-15:00|12:00-12:30</t>
  </si>
  <si>
    <t>07:00-12:00-12:30-15:00</t>
  </si>
  <si>
    <t>C247</t>
  </si>
  <si>
    <t>13:00-21:00|18:30-19:00</t>
  </si>
  <si>
    <t>13:00-18:30-19:00-21:00</t>
  </si>
  <si>
    <t>C248</t>
  </si>
  <si>
    <t>08:30-17:30|12:00-14:00</t>
  </si>
  <si>
    <t>08:30-12:00-14:00-17:30</t>
  </si>
  <si>
    <t>C249</t>
  </si>
  <si>
    <t>10:15-19:15|12:00-13:00</t>
  </si>
  <si>
    <t>10:15-12:00-13:00-19:15</t>
  </si>
  <si>
    <t>C250</t>
  </si>
  <si>
    <t>C251</t>
  </si>
  <si>
    <t>08:30-20:00|12:30-16:00</t>
  </si>
  <si>
    <t>08:30-12:30-16:00-20:00</t>
  </si>
  <si>
    <t>C252</t>
  </si>
  <si>
    <t>06:00-17:00|11:00-14:00</t>
  </si>
  <si>
    <t>06:00-11:00-14:00-17:00</t>
  </si>
  <si>
    <t>C253</t>
  </si>
  <si>
    <t>07:00-17:00|12:00-13:00</t>
  </si>
  <si>
    <t>07:00-12:00-13:00-17:00</t>
  </si>
  <si>
    <t>C254</t>
  </si>
  <si>
    <t>07:00-16:00|13:00-14:00</t>
  </si>
  <si>
    <t>07:00-13:00-14:00-16:00</t>
  </si>
  <si>
    <t>C256</t>
  </si>
  <si>
    <t>08:00-17:30|11:00-13:30</t>
  </si>
  <si>
    <t>08:00-11:00-13:30-17:30</t>
  </si>
  <si>
    <t>C257</t>
  </si>
  <si>
    <t>C258</t>
  </si>
  <si>
    <t>07:15-16:15|11:15-12:15</t>
  </si>
  <si>
    <t>07:15-11:15-12:15-16:15</t>
  </si>
  <si>
    <t>C259</t>
  </si>
  <si>
    <t>08:30-17:30|11:00-13:00</t>
  </si>
  <si>
    <t>08:30-11:00-13:00-17:30</t>
  </si>
  <si>
    <t>C261</t>
  </si>
  <si>
    <t>08:30-19:00|12:30-15:00</t>
  </si>
  <si>
    <t>08:30-12:30-15:00-19:00</t>
  </si>
  <si>
    <t>C262</t>
  </si>
  <si>
    <t>07:30-18:00|11:30-14:00</t>
  </si>
  <si>
    <t>07:30-11:30-14:00-18:00</t>
  </si>
  <si>
    <t>C264</t>
  </si>
  <si>
    <t>08:00-20:00|12:00-16:00</t>
  </si>
  <si>
    <t>08:00-12:00-16:00-20:00</t>
  </si>
  <si>
    <t>C265</t>
  </si>
  <si>
    <t>06:00-20:00|10:00-16:00</t>
  </si>
  <si>
    <t>06:00-10:00-16:00-20:00</t>
  </si>
  <si>
    <t>C266</t>
  </si>
  <si>
    <t>05:00-19:00|09:00-15:00</t>
  </si>
  <si>
    <t>05:00-09:00-15:00-19:00</t>
  </si>
  <si>
    <t>C267</t>
  </si>
  <si>
    <t>06:00-22:00|13:00-18:00</t>
  </si>
  <si>
    <t>06:00-13:00-18:00-22:00</t>
  </si>
  <si>
    <t>C273</t>
  </si>
  <si>
    <t>07:15-18:15|11:15-14:15</t>
  </si>
  <si>
    <t>07:15-11:15-14:15-18:15</t>
  </si>
  <si>
    <t>C274</t>
  </si>
  <si>
    <t>07:15-19:15|11:15-15:15</t>
  </si>
  <si>
    <t>07:15-11:15-15:15-19:15</t>
  </si>
  <si>
    <t>C277</t>
  </si>
  <si>
    <t>C279</t>
  </si>
  <si>
    <t>07:15-16:15|12:00-14:00</t>
  </si>
  <si>
    <t>07:15-12:00-14:00-16:15</t>
  </si>
  <si>
    <t>C280</t>
  </si>
  <si>
    <t>04:30-13:30|09:30-10:30</t>
  </si>
  <si>
    <t>04:30-09:30-10:30-13:30</t>
  </si>
  <si>
    <t>C281</t>
  </si>
  <si>
    <t>10:30-19:30|12:00-13:00</t>
  </si>
  <si>
    <t>10:30-12:00-13:00-19:30</t>
  </si>
  <si>
    <t>C282</t>
  </si>
  <si>
    <t>10:00-22:00|14:00-18:00</t>
  </si>
  <si>
    <t>10:00-14:00-18:00-22:00</t>
  </si>
  <si>
    <t>C283</t>
  </si>
  <si>
    <t>07:15-17:45|11:15-13:45</t>
  </si>
  <si>
    <t>07:15-11:15-13:45-17:45</t>
  </si>
  <si>
    <t>C288</t>
  </si>
  <si>
    <t>07:30-17:00|11:30-14:00</t>
  </si>
  <si>
    <t>07:30-11:30-14:00-17:00</t>
  </si>
  <si>
    <t>C289</t>
  </si>
  <si>
    <t>07:15-16:15|11:15-13:15</t>
  </si>
  <si>
    <t>07:15-11:15-13:15-16:15</t>
  </si>
  <si>
    <t>C290</t>
  </si>
  <si>
    <t>07:15-15:15|11:15-11:45</t>
  </si>
  <si>
    <t>07:15-11:15-11:45-15:15</t>
  </si>
  <si>
    <t>C291</t>
  </si>
  <si>
    <t>15:15-23:15|18:15-18:45</t>
  </si>
  <si>
    <t>15:15-18:15-18:45-23:15</t>
  </si>
  <si>
    <t>C292</t>
  </si>
  <si>
    <t>23:15-07:15|03:15-04:00</t>
  </si>
  <si>
    <t>23:15-03:15-04:00-07:15</t>
  </si>
  <si>
    <t>C293</t>
  </si>
  <si>
    <t>07:15-19:15|12:00-13:00</t>
  </si>
  <si>
    <t>07:15-12:00-13:00-19:15</t>
  </si>
  <si>
    <t>C294</t>
  </si>
  <si>
    <t>19:15-07:15|03:15-04:00</t>
  </si>
  <si>
    <t>19:15-03:15-04:00-07:15</t>
  </si>
  <si>
    <t>C305</t>
  </si>
  <si>
    <t>06:00-16:30|11:30-13:00</t>
  </si>
  <si>
    <t>06:00-11:30-13:00-16:30</t>
  </si>
  <si>
    <t>C306</t>
  </si>
  <si>
    <t>08:00-17:00|11:30-13:30</t>
  </si>
  <si>
    <t>08:00-11:30-13:30-17:00</t>
  </si>
  <si>
    <t>C311</t>
  </si>
  <si>
    <t>07:15-16:30|11:45-13:00</t>
  </si>
  <si>
    <t>07:15-11:45-13:00-16:30</t>
  </si>
  <si>
    <t>C314</t>
  </si>
  <si>
    <t>06:00-21:00|10:00-17:00</t>
  </si>
  <si>
    <t>06:00-10:00-17:00-21:00</t>
  </si>
  <si>
    <t>C316</t>
  </si>
  <si>
    <t>05:00-17:30|09:00-13:30</t>
  </si>
  <si>
    <t>05:00-09:00-13:30-17:30</t>
  </si>
  <si>
    <t>C325</t>
  </si>
  <si>
    <t>C326</t>
  </si>
  <si>
    <t>06:00-19:30|10:00-15:30</t>
  </si>
  <si>
    <t>06:00-10:00-15:30-19:30</t>
  </si>
  <si>
    <t>C327</t>
  </si>
  <si>
    <t>08:00-16:00|12:00-12:30</t>
  </si>
  <si>
    <t>08:00-12:00-12:30-16:00</t>
  </si>
  <si>
    <t>C328</t>
  </si>
  <si>
    <t>16:00-23:59:59|19:00-19:30</t>
  </si>
  <si>
    <t>16:00-19:00-19:30-23:59:59</t>
  </si>
  <si>
    <t>C329</t>
  </si>
  <si>
    <t>00:00-08:00|04:00-04:45</t>
  </si>
  <si>
    <t>00:00-04:00-04:45-08:00</t>
  </si>
  <si>
    <t>C334</t>
  </si>
  <si>
    <t>23:59-08:00|04:00-04:45</t>
  </si>
  <si>
    <t>23:59-04:00-04:45-08:00</t>
  </si>
  <si>
    <t>C336</t>
  </si>
  <si>
    <t>VB01</t>
  </si>
  <si>
    <t>C638</t>
  </si>
  <si>
    <t>C456</t>
  </si>
  <si>
    <t>10:00-17:30</t>
  </si>
  <si>
    <t>C457</t>
  </si>
  <si>
    <t>13:30-18:00</t>
  </si>
  <si>
    <t>C639</t>
  </si>
  <si>
    <t>C640</t>
  </si>
  <si>
    <t>C641</t>
  </si>
  <si>
    <t>11:00-21:00</t>
  </si>
  <si>
    <t>C478</t>
  </si>
  <si>
    <t>08:30-20:30</t>
  </si>
  <si>
    <t>C642</t>
  </si>
  <si>
    <t>C367</t>
  </si>
  <si>
    <t>16:30-23:59</t>
  </si>
  <si>
    <t>C368</t>
  </si>
  <si>
    <t>C370</t>
  </si>
  <si>
    <t>C371</t>
  </si>
  <si>
    <t>C372</t>
  </si>
  <si>
    <t>C373</t>
  </si>
  <si>
    <t>C376</t>
  </si>
  <si>
    <t>04:30-21:00|08:30-17:00</t>
  </si>
  <si>
    <t>04:30-08:30-17:00-21:00</t>
  </si>
  <si>
    <t>C377</t>
  </si>
  <si>
    <t>06:15-19:30|10:15-15:30</t>
  </si>
  <si>
    <t>06:15-10:15-15:30-19:30</t>
  </si>
  <si>
    <t>C378</t>
  </si>
  <si>
    <t>07:00-21:45|11:00-17:45</t>
  </si>
  <si>
    <t>07:00-11:00-17:45-21:45</t>
  </si>
  <si>
    <t>C379</t>
  </si>
  <si>
    <t>07:00-19:30|11:00-15:30</t>
  </si>
  <si>
    <t>07:00-11:00-15:30-19:30</t>
  </si>
  <si>
    <t>C380</t>
  </si>
  <si>
    <t>07:15-19:30|11:15-15:30</t>
  </si>
  <si>
    <t>07:15-11:15-15:30-19:30</t>
  </si>
  <si>
    <t>C381</t>
  </si>
  <si>
    <t>07:15-20:15|11:15-16:15</t>
  </si>
  <si>
    <t>07:15-11:15-16:15-20:15</t>
  </si>
  <si>
    <t>C382</t>
  </si>
  <si>
    <t>07:15-21:30|11:15-17:30</t>
  </si>
  <si>
    <t>07:15-11:15-17:30-21:30</t>
  </si>
  <si>
    <t>C383</t>
  </si>
  <si>
    <t>07:15-21:45|11:15-17:45</t>
  </si>
  <si>
    <t>07:15-11:15-17:45-21:45</t>
  </si>
  <si>
    <t>C384</t>
  </si>
  <si>
    <t>07:15-22:00|11:15-18:00</t>
  </si>
  <si>
    <t>07:15-11:15-18:00-22:00</t>
  </si>
  <si>
    <t>C385</t>
  </si>
  <si>
    <t>07:15-22:15|11:15-18:15</t>
  </si>
  <si>
    <t>07:15-11:15-18:15-22:15</t>
  </si>
  <si>
    <t>C386</t>
  </si>
  <si>
    <t>07:45-21:45|11:45-17:45</t>
  </si>
  <si>
    <t>07:45-11:45-17:45-21:45</t>
  </si>
  <si>
    <t>C387</t>
  </si>
  <si>
    <t>08:00-19:30|12:00-15:30</t>
  </si>
  <si>
    <t>08:00-12:00-15:30-19:30</t>
  </si>
  <si>
    <t>C388</t>
  </si>
  <si>
    <t>08:00-20:15|12:00-16:15</t>
  </si>
  <si>
    <t>08:00-12:00-16:15-20:15</t>
  </si>
  <si>
    <t>C389</t>
  </si>
  <si>
    <t>08:00-21:30|12:00-17:30</t>
  </si>
  <si>
    <t>08:00-12:00-17:30-21:30</t>
  </si>
  <si>
    <t>C390</t>
  </si>
  <si>
    <t>08:00-21:45|12:00-17:45</t>
  </si>
  <si>
    <t>08:00-12:00-17:45-21:45</t>
  </si>
  <si>
    <t>C391</t>
  </si>
  <si>
    <t>08:00-22:00|12:00-18:00</t>
  </si>
  <si>
    <t>08:00-12:00-18:00-22:00</t>
  </si>
  <si>
    <t>C392</t>
  </si>
  <si>
    <t>08:15-19:30|12:15-15:30</t>
  </si>
  <si>
    <t>08:15-12:15-15:30-19:30</t>
  </si>
  <si>
    <t>C393</t>
  </si>
  <si>
    <t>08:15-20:15|12:15-16:15</t>
  </si>
  <si>
    <t>08:15-12:15-16:15-20:15</t>
  </si>
  <si>
    <t>C394</t>
  </si>
  <si>
    <t>08:15-21:45|12:15-17:45</t>
  </si>
  <si>
    <t>08:15-12:15-17:45-21:45</t>
  </si>
  <si>
    <t>C395</t>
  </si>
  <si>
    <t>08:15-22:00|12:15-18:00</t>
  </si>
  <si>
    <t>08:15-12:15-18:00-22:00</t>
  </si>
  <si>
    <t>C396</t>
  </si>
  <si>
    <t>13:00-22:00|17:00-18:00</t>
  </si>
  <si>
    <t>13:00-17:00-18:00-22:00</t>
  </si>
  <si>
    <t>C397</t>
  </si>
  <si>
    <t>C398</t>
  </si>
  <si>
    <t>C399</t>
  </si>
  <si>
    <t>C400</t>
  </si>
  <si>
    <t>C401</t>
  </si>
  <si>
    <t>C402</t>
  </si>
  <si>
    <t>C403</t>
  </si>
  <si>
    <t>C404</t>
  </si>
  <si>
    <t>07:15-20:30|11:15-17:30</t>
  </si>
  <si>
    <t>07:15-11:15-17:30-20:30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</si>
  <si>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</si>
  <si>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</si>
  <si>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</si>
  <si>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</si>
  <si>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</si>
  <si>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</si>
  <si>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</si>
  <si>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</si>
  <si>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</si>
  <si>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</si>
  <si>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</si>
  <si>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</si>
  <si>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</si>
  <si>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</si>
  <si>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C425</t>
  </si>
  <si>
    <t>08:00-17:00|11:00-12:00</t>
  </si>
  <si>
    <t>08:00-11:00-12:00-17:00</t>
  </si>
  <si>
    <t>C440</t>
  </si>
  <si>
    <t>08:30-19:00|11:30-14:00</t>
  </si>
  <si>
    <t>08:30-11:30-14:00-19:00</t>
  </si>
  <si>
    <t>C443</t>
  </si>
  <si>
    <t>07:00-16:30|11:30-13:00</t>
  </si>
  <si>
    <t>07:00-11:30-13:00-16:30</t>
  </si>
  <si>
    <t>C446</t>
  </si>
  <si>
    <t>08:00-21:00|11:00-15:00</t>
  </si>
  <si>
    <t>08:00-11:00-15:00-21:00</t>
  </si>
  <si>
    <t>C458</t>
  </si>
  <si>
    <t>06:00-14:00|11:30-12:00</t>
  </si>
  <si>
    <t>06:00-11:30-12:00-14:00</t>
  </si>
  <si>
    <t>C459</t>
  </si>
  <si>
    <t>14:00-22:00|18:00-18:30</t>
  </si>
  <si>
    <t>14:00-18:00-18:30-22:00</t>
  </si>
  <si>
    <t>C461</t>
  </si>
  <si>
    <t>11:00-20:00|15:00-16:00</t>
  </si>
  <si>
    <t>11:00-15:00-16:00-20:00</t>
  </si>
  <si>
    <t>C462</t>
  </si>
  <si>
    <t>06:00-16:00|10:00-12:00</t>
  </si>
  <si>
    <t>06:00-10:00-12:00-16:00</t>
  </si>
  <si>
    <t>C467</t>
  </si>
  <si>
    <t>07:00-21:00|13:00-19:00</t>
  </si>
  <si>
    <t>07:00-13:00-19:00-21:00</t>
  </si>
  <si>
    <t>C468</t>
  </si>
  <si>
    <t>06:00-18:00|11:00-15:00</t>
  </si>
  <si>
    <t>06:00-11:00-15:00-18:00</t>
  </si>
  <si>
    <t>C469</t>
  </si>
  <si>
    <t>05:00-20:00|10:00-17:00</t>
  </si>
  <si>
    <t>05:00-10:00-17:00-20:00</t>
  </si>
  <si>
    <t>C470</t>
  </si>
  <si>
    <t>09:00-20:30|13:00-16:30</t>
  </si>
  <si>
    <t>09:00-13:00-16:30-20:30</t>
  </si>
  <si>
    <t>C471</t>
  </si>
  <si>
    <t>06:00-19:00|11:00-16:00</t>
  </si>
  <si>
    <t>06:00-11:00-16:00-19:00</t>
  </si>
  <si>
    <t>C472</t>
  </si>
  <si>
    <t>08:00-21:00|13:00-18:00</t>
  </si>
  <si>
    <t>08:00-13:00-18:00-21:00</t>
  </si>
  <si>
    <t>C473</t>
  </si>
  <si>
    <t>11:00-22:00|15:00-18:00</t>
  </si>
  <si>
    <t>11:00-15:00-18:00-22:00</t>
  </si>
  <si>
    <t>C474</t>
  </si>
  <si>
    <t>07:00-20:00|13:00-18:00</t>
  </si>
  <si>
    <t>07:00-13:00-18:00-20:00</t>
  </si>
  <si>
    <t>C475</t>
  </si>
  <si>
    <t>C480</t>
  </si>
  <si>
    <t>C482</t>
  </si>
  <si>
    <t>C485</t>
  </si>
  <si>
    <t>08:00-20:00|11:00-13:00</t>
  </si>
  <si>
    <t>08:00-11:00-13:00-20:00</t>
  </si>
  <si>
    <t>C486</t>
  </si>
  <si>
    <t>22:00-06:00|02:00-02:30</t>
  </si>
  <si>
    <t>22:00-02:00-02:30-06:00</t>
  </si>
  <si>
    <t>C493</t>
  </si>
  <si>
    <t>08:00-20:00|12:00-13:00</t>
  </si>
  <si>
    <t>08:00-12:00-13:00-20:00</t>
  </si>
  <si>
    <t>C494</t>
  </si>
  <si>
    <t>20:00-08:00|00:00-00:45</t>
  </si>
  <si>
    <t>20:00-00:00-00:45-08:00</t>
  </si>
  <si>
    <t>C500</t>
  </si>
  <si>
    <t>08:30-22:30|11:30-17:30</t>
  </si>
  <si>
    <t>08:30-11:30-17:30-22:30</t>
  </si>
  <si>
    <t>C508</t>
  </si>
  <si>
    <t>17:30-01:30|20:00-20:30</t>
  </si>
  <si>
    <t>17:30-20:00-20:30-01:30</t>
  </si>
  <si>
    <t>C513</t>
  </si>
  <si>
    <t>08:00-16:30|11:30-12:00</t>
  </si>
  <si>
    <t>08:00-11:30-12:00-16:30</t>
  </si>
  <si>
    <t>C517</t>
  </si>
  <si>
    <t>08:00-17:00|11:30-12:30</t>
  </si>
  <si>
    <t>08:00-11:30-12:30-17:00</t>
  </si>
  <si>
    <t>C521</t>
  </si>
  <si>
    <t>18:00-07:00|22:00-02:00</t>
  </si>
  <si>
    <t>18:00-22:00-02:00-07:00</t>
  </si>
  <si>
    <t>C523</t>
  </si>
  <si>
    <t>08:30-17:00|12:30-13:00</t>
  </si>
  <si>
    <t>08:30-12:30-13:00-17:00</t>
  </si>
  <si>
    <t>C524</t>
  </si>
  <si>
    <t>06:30-15:00|10:00-10:30</t>
  </si>
  <si>
    <t>06:30-10:00-10:30-15:00</t>
  </si>
  <si>
    <t>C528</t>
  </si>
  <si>
    <t>C529</t>
  </si>
  <si>
    <t>08:15-17:15</t>
  </si>
  <si>
    <t>C530</t>
  </si>
  <si>
    <t>09:15-17:15</t>
  </si>
  <si>
    <t>C531</t>
  </si>
  <si>
    <t>08:00-18:00|12:00-13:30</t>
  </si>
  <si>
    <t>08:00-12:00-13:30-18:00</t>
  </si>
  <si>
    <t>C532</t>
  </si>
  <si>
    <t>08:00-18:30|12:00-13:30</t>
  </si>
  <si>
    <t>08:00-12:00-13:30-18:30</t>
  </si>
  <si>
    <t>C533</t>
  </si>
  <si>
    <t>08:30-13:30</t>
  </si>
  <si>
    <t>C534</t>
  </si>
  <si>
    <t>08:30-18:30</t>
  </si>
  <si>
    <t>C535</t>
  </si>
  <si>
    <t>09:00-14:00</t>
  </si>
  <si>
    <t>C536</t>
  </si>
  <si>
    <t>09:00-18:30</t>
  </si>
  <si>
    <t>C537</t>
  </si>
  <si>
    <t>C538</t>
  </si>
  <si>
    <t>C539</t>
  </si>
  <si>
    <t>C540</t>
  </si>
  <si>
    <t>15:00-21:00</t>
  </si>
  <si>
    <t>C541</t>
  </si>
  <si>
    <t>08:30-21:00</t>
  </si>
  <si>
    <t>C542</t>
  </si>
  <si>
    <t>12:01-00:01</t>
  </si>
  <si>
    <t>C543</t>
  </si>
  <si>
    <t>07:30-07:30</t>
  </si>
  <si>
    <t>C544</t>
  </si>
  <si>
    <t>06:30-06:30</t>
  </si>
  <si>
    <t>C545</t>
  </si>
  <si>
    <t>17:00-09:00</t>
  </si>
  <si>
    <t>C546</t>
  </si>
  <si>
    <t>07:30-09:00|16:30-17:00</t>
  </si>
  <si>
    <t>07:30-16:30-17:00-09:00</t>
  </si>
  <si>
    <t>C547</t>
  </si>
  <si>
    <t>C548</t>
  </si>
  <si>
    <t>C549</t>
  </si>
  <si>
    <t>C516</t>
  </si>
  <si>
    <t>C643</t>
  </si>
  <si>
    <t>11:00-23:59:59</t>
  </si>
  <si>
    <t>C550</t>
  </si>
  <si>
    <t>13:00-21:30|18:30-19:00</t>
  </si>
  <si>
    <t>13:00-18:30-19:00-21:30</t>
  </si>
  <si>
    <t>C551</t>
  </si>
  <si>
    <t>06:00-14:30|11:45-12:15</t>
  </si>
  <si>
    <t>06:00-11:45-12:15-14:30</t>
  </si>
  <si>
    <t>C552</t>
  </si>
  <si>
    <t>13:30-22:00|18:30-19:00</t>
  </si>
  <si>
    <t>13:30-18:30-19:00-22:00</t>
  </si>
  <si>
    <t>C553</t>
  </si>
  <si>
    <t>14:00-22:30|18:00-18:30</t>
  </si>
  <si>
    <t>14:00-18:00-18:30-22:30</t>
  </si>
  <si>
    <t>C555</t>
  </si>
  <si>
    <t>23:30-07:30|03:00-03:30</t>
  </si>
  <si>
    <t>23:30-03:00-03:30-07:30</t>
  </si>
  <si>
    <t>C501</t>
  </si>
  <si>
    <t>05:00-14:00|11:00-12:00</t>
  </si>
  <si>
    <t>05:00-11:00-12:00-14:00</t>
  </si>
  <si>
    <t>C497</t>
  </si>
  <si>
    <t>09:00-19:00|11:30-13:00</t>
  </si>
  <si>
    <t>09:00-11:30-13:00-19:00</t>
  </si>
  <si>
    <t>C554</t>
  </si>
  <si>
    <t>22:00-06:30|02:00-02:30</t>
  </si>
  <si>
    <t>22:00-02:00-02:30-06:30</t>
  </si>
  <si>
    <t>C525</t>
  </si>
  <si>
    <t>C644</t>
  </si>
  <si>
    <t>00:00-11:00</t>
  </si>
  <si>
    <t>C556</t>
  </si>
  <si>
    <t>C557</t>
  </si>
  <si>
    <t>C558</t>
  </si>
  <si>
    <t>C559</t>
  </si>
  <si>
    <t>C560</t>
  </si>
  <si>
    <t>B0.5</t>
  </si>
  <si>
    <t>B1</t>
  </si>
  <si>
    <t>C561</t>
  </si>
  <si>
    <t>C562</t>
  </si>
  <si>
    <t>C563</t>
  </si>
  <si>
    <t>13:30-16:30</t>
  </si>
  <si>
    <t>C564</t>
  </si>
  <si>
    <t>10:30-16:00</t>
  </si>
  <si>
    <t>C565</t>
  </si>
  <si>
    <t>09:30-14:00</t>
  </si>
  <si>
    <t>C566</t>
  </si>
  <si>
    <t>10:00-14:00</t>
  </si>
  <si>
    <t>C567</t>
  </si>
  <si>
    <t>08:30-14:00</t>
  </si>
  <si>
    <t>C568</t>
  </si>
  <si>
    <t>12:30-18:00</t>
  </si>
  <si>
    <t>C569</t>
  </si>
  <si>
    <t>14:00-17:00</t>
  </si>
  <si>
    <t>C570</t>
  </si>
  <si>
    <t>14:00-17:30</t>
  </si>
  <si>
    <t>C212</t>
  </si>
  <si>
    <t>23:00-08:00|03:00-03:30</t>
  </si>
  <si>
    <t>23:00-03:00-03:30-08:00</t>
  </si>
  <si>
    <t>C645</t>
  </si>
  <si>
    <t>00:00-12:00</t>
  </si>
  <si>
    <t>C646</t>
  </si>
  <si>
    <t>00:00-13:00</t>
  </si>
  <si>
    <t>C647</t>
  </si>
  <si>
    <t>01:00-11:00</t>
  </si>
  <si>
    <t>C648</t>
  </si>
  <si>
    <t>01:00-12:00</t>
  </si>
  <si>
    <t>C649</t>
  </si>
  <si>
    <t>01:00-13:00</t>
  </si>
  <si>
    <t>C650</t>
  </si>
  <si>
    <t>02:00-11:00</t>
  </si>
  <si>
    <t>C651</t>
  </si>
  <si>
    <t>02:00-12:00</t>
  </si>
  <si>
    <t>C652</t>
  </si>
  <si>
    <t>02:00-13:00</t>
  </si>
  <si>
    <t>C653</t>
  </si>
  <si>
    <t>C654</t>
  </si>
  <si>
    <t>03:00-12:00</t>
  </si>
  <si>
    <t>C655</t>
  </si>
  <si>
    <t>03:00-13:00</t>
  </si>
  <si>
    <t>C656</t>
  </si>
  <si>
    <t>04:00-11:00</t>
  </si>
  <si>
    <t>C657</t>
  </si>
  <si>
    <t>C658</t>
  </si>
  <si>
    <t>04:00-13:00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</si>
  <si>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</si>
  <si>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</si>
  <si>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</si>
  <si>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</si>
  <si>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</si>
  <si>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</si>
  <si>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</si>
  <si>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</si>
  <si>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</si>
  <si>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</si>
  <si>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</si>
  <si>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</si>
  <si>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</si>
  <si>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</si>
  <si>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</si>
  <si>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</si>
  <si>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</si>
  <si>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19:30-03:30</t>
  </si>
  <si>
    <t>C676</t>
  </si>
  <si>
    <t>20:00-04:00</t>
  </si>
  <si>
    <t>C677</t>
  </si>
  <si>
    <t>20:30-04:30</t>
  </si>
  <si>
    <t>C678</t>
  </si>
  <si>
    <t>C679</t>
  </si>
  <si>
    <t>21:00-09:00</t>
  </si>
  <si>
    <t>C680</t>
  </si>
  <si>
    <t>C681</t>
  </si>
  <si>
    <t>C682</t>
  </si>
  <si>
    <t>C683</t>
  </si>
  <si>
    <t>15:30-23:59</t>
  </si>
  <si>
    <t>26/07/2026</t>
  </si>
  <si>
    <t>Ca 9h-21h</t>
  </si>
  <si>
    <t>C9</t>
  </si>
  <si>
    <t>HC+C9</t>
  </si>
  <si>
    <t>thiếu 4h</t>
  </si>
  <si>
    <t>042014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</si>
</sst>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1"/>
      <color indexed="8"/>
      <name val="Calibri"/>
      <family val="2"/>
      <scheme val="minor"/>
    </font>
    <font>
      <sz val="11"/>
      <color indexed="8"/>
      <name val="Times New Roman"/>
      <family val="1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DA1C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17" fillId="0" borderId="0"/>
  </cellStyleXfs>
  <cellXfs count="226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14" xfId="0" quotePrefix="1" applyFont="1" applyBorder="1" applyAlignment="1">
      <alignment horizontal="center" vertical="center"/>
    </xf>
    <xf numFmtId="0" fontId="1" fillId="0" borderId="27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6" borderId="17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22" xfId="0" quotePrefix="1" applyFont="1" applyBorder="1" applyAlignment="1">
      <alignment horizontal="center" vertical="center"/>
    </xf>
    <xf numFmtId="0" fontId="1" fillId="0" borderId="29" xfId="0" quotePrefix="1" applyFont="1" applyBorder="1" applyAlignment="1">
      <alignment horizontal="center" vertical="center"/>
    </xf>
    <xf numFmtId="0" fontId="0" fillId="2" borderId="0" xfId="0" applyFill="1"/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1" fillId="4" borderId="35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16" xfId="0" applyFont="1" applyBorder="1"/>
    <xf numFmtId="0" fontId="0" fillId="0" borderId="17" xfId="0" applyBorder="1"/>
    <xf numFmtId="0" fontId="1" fillId="0" borderId="18" xfId="0" applyFont="1" applyBorder="1"/>
    <xf numFmtId="0" fontId="1" fillId="0" borderId="35" xfId="0" applyFont="1" applyBorder="1"/>
    <xf numFmtId="0" fontId="1" fillId="0" borderId="19" xfId="0" applyFont="1" applyBorder="1"/>
    <xf numFmtId="0" fontId="1" fillId="0" borderId="45" xfId="0" applyFont="1" applyBorder="1"/>
    <xf numFmtId="0" fontId="0" fillId="0" borderId="20" xfId="0" applyBorder="1"/>
    <xf numFmtId="0" fontId="1" fillId="0" borderId="21" xfId="0" applyFont="1" applyBorder="1"/>
    <xf numFmtId="0" fontId="1" fillId="0" borderId="46" xfId="0" applyFont="1" applyBorder="1" applyAlignment="1">
      <alignment horizontal="center"/>
    </xf>
    <xf numFmtId="0" fontId="1" fillId="6" borderId="20" xfId="0" applyFont="1" applyFill="1" applyBorder="1" applyAlignment="1">
      <alignment horizontal="center" textRotation="90"/>
    </xf>
    <xf numFmtId="0" fontId="12" fillId="7" borderId="37" xfId="0" applyFont="1" applyFill="1" applyBorder="1" applyAlignment="1">
      <alignment horizontal="center" vertical="center"/>
    </xf>
    <xf numFmtId="0" fontId="12" fillId="7" borderId="39" xfId="0" applyFont="1" applyFill="1" applyBorder="1"/>
    <xf numFmtId="0" fontId="12" fillId="7" borderId="38" xfId="0" applyFont="1" applyFill="1" applyBorder="1" applyAlignment="1">
      <alignment horizontal="center" vertical="center"/>
    </xf>
    <xf numFmtId="0" fontId="12" fillId="7" borderId="39" xfId="0" applyFont="1" applyFill="1" applyBorder="1" applyAlignment="1">
      <alignment horizontal="center" vertical="center"/>
    </xf>
    <xf numFmtId="0" fontId="12" fillId="7" borderId="47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2" fillId="7" borderId="5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" fillId="0" borderId="48" xfId="0" quotePrefix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26" xfId="0" quotePrefix="1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4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textRotation="90"/>
    </xf>
    <xf numFmtId="0" fontId="10" fillId="2" borderId="12" xfId="0" applyFont="1" applyFill="1" applyBorder="1" applyAlignment="1">
      <alignment horizontal="center" vertical="center"/>
    </xf>
    <xf numFmtId="0" fontId="1" fillId="0" borderId="54" xfId="0" quotePrefix="1" applyFont="1" applyBorder="1" applyAlignment="1">
      <alignment horizontal="center" vertical="center"/>
    </xf>
    <xf numFmtId="0" fontId="1" fillId="8" borderId="0" xfId="0" applyFont="1" applyFill="1"/>
    <xf numFmtId="0" fontId="1" fillId="0" borderId="46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/>
    </xf>
    <xf numFmtId="0" fontId="9" fillId="0" borderId="55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/>
    </xf>
    <xf numFmtId="0" fontId="9" fillId="0" borderId="45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1" fillId="6" borderId="45" xfId="0" applyFont="1" applyFill="1" applyBorder="1" applyAlignment="1">
      <alignment horizontal="center" textRotation="90"/>
    </xf>
    <xf numFmtId="0" fontId="2" fillId="0" borderId="0" xfId="0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9" fillId="2" borderId="52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9" borderId="36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9" fillId="9" borderId="2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6" fillId="4" borderId="12" xfId="0" applyNumberFormat="1" applyFont="1" applyFill="1" applyBorder="1" applyAlignment="1">
      <alignment horizontal="center" vertical="center"/>
    </xf>
    <xf numFmtId="49" fontId="16" fillId="4" borderId="12" xfId="0" quotePrefix="1" applyNumberFormat="1" applyFont="1" applyFill="1" applyBorder="1" applyAlignment="1">
      <alignment horizontal="center" vertical="center"/>
    </xf>
    <xf numFmtId="49" fontId="1" fillId="0" borderId="12" xfId="0" quotePrefix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6" fillId="10" borderId="12" xfId="1" applyFont="1" applyFill="1" applyBorder="1" applyAlignment="1">
      <alignment horizontal="center" vertical="center"/>
    </xf>
    <xf numFmtId="0" fontId="17" fillId="0" borderId="0" xfId="1"/>
    <xf numFmtId="0" fontId="18" fillId="10" borderId="12" xfId="1" applyFont="1" applyFill="1" applyBorder="1"/>
    <xf numFmtId="0" fontId="2" fillId="4" borderId="21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textRotation="90"/>
    </xf>
    <xf numFmtId="0" fontId="10" fillId="0" borderId="44" xfId="0" applyFont="1" applyFill="1" applyBorder="1" applyAlignment="1">
      <alignment horizontal="center" vertical="center"/>
    </xf>
    <xf numFmtId="0" fontId="10" fillId="0" borderId="43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7" borderId="47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/>
    </xf>
    <xf numFmtId="0" fontId="2" fillId="7" borderId="47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" fillId="7" borderId="50" xfId="0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1" fillId="4" borderId="60" xfId="0" applyFont="1" applyFill="1" applyBorder="1" applyAlignment="1">
      <alignment horizontal="center" vertical="center"/>
    </xf>
    <xf numFmtId="0" fontId="1" fillId="4" borderId="61" xfId="0" applyFont="1" applyFill="1" applyBorder="1" applyAlignment="1">
      <alignment horizontal="center" vertical="center"/>
    </xf>
    <xf numFmtId="0" fontId="12" fillId="7" borderId="31" xfId="0" applyFont="1" applyFill="1" applyBorder="1" applyAlignment="1">
      <alignment horizontal="center" vertical="center"/>
    </xf>
    <xf numFmtId="0" fontId="12" fillId="7" borderId="49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" fillId="0" borderId="0" xfId="0" quotePrefix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12" fillId="7" borderId="32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2" fillId="12" borderId="29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11" borderId="2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62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6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7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9E06C90-0402-47E5-A633-19796075BD50}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DA1C0"/>
      <color rgb="FFFF33CC"/>
      <color rgb="FFFEBED3"/>
      <color rgb="FFFDBFCF"/>
      <color rgb="FFFEF0F3"/>
      <color rgb="FFFFEFF7"/>
      <color rgb="FFFFEF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2"/>
  <sheetViews>
    <sheetView tabSelected="1" zoomScaleNormal="100" workbookViewId="0">
      <pane ySplit="11" topLeftCell="A12" activePane="bottomLeft" state="frozen"/>
      <selection activeCell="A12" sqref="A12"/>
      <selection pane="bottomLeft" activeCell="W15" sqref="W15"/>
    </sheetView>
  </sheetViews>
  <sheetFormatPr defaultColWidth="8.5703125" defaultRowHeight="15" x14ac:dyDescent="0.25"/>
  <cols>
    <col min="1" max="1" width="16.42578125" customWidth="1"/>
    <col min="2" max="2" width="9.5703125" customWidth="1"/>
    <col min="3" max="3" width="25.140625" customWidth="1"/>
    <col min="4" max="14" width="3.5703125" customWidth="1"/>
    <col min="15" max="15" width="3.42578125" customWidth="1"/>
    <col min="16" max="34" width="3.5703125" customWidth="1"/>
    <col min="35" max="38" width="8.42578125" customWidth="1"/>
    <col min="39" max="39" width="16.42578125" customWidth="1"/>
    <col min="40" max="40" width="16" customWidth="1"/>
    <col min="41" max="41" width="16.5703125" bestFit="1" customWidth="1"/>
  </cols>
  <sheetData>
    <row r="1" spans="1:41" ht="14.85" customHeight="1" x14ac:dyDescent="0.25">
      <c r="A1" s="208" t="s">
        <v>0</v>
      </c>
      <c r="B1" s="217" t="s">
        <v>1</v>
      </c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9"/>
      <c r="AI1" s="10" t="s">
        <v>2</v>
      </c>
      <c r="AJ1" s="11"/>
      <c r="AK1" s="12"/>
      <c r="AL1" s="12"/>
    </row>
    <row r="2" spans="1:41" ht="14.85" customHeight="1" x14ac:dyDescent="0.25">
      <c r="A2" s="209"/>
      <c r="B2" s="220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2"/>
      <c r="AI2" s="13" t="s">
        <v>3</v>
      </c>
      <c r="AJ2" s="5"/>
      <c r="AK2" s="6"/>
      <c r="AL2" s="6"/>
    </row>
    <row r="3" spans="1:41" ht="14.85" customHeight="1" x14ac:dyDescent="0.25">
      <c r="A3" s="209"/>
      <c r="B3" s="220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2"/>
      <c r="AI3" s="13" t="s">
        <v>4</v>
      </c>
      <c r="AJ3" s="5"/>
      <c r="AK3" s="6"/>
      <c r="AL3" s="6"/>
    </row>
    <row r="4" spans="1:41" ht="14.85" customHeight="1" x14ac:dyDescent="0.25">
      <c r="A4" s="209"/>
      <c r="B4" s="220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2"/>
      <c r="AI4" s="13" t="s">
        <v>5</v>
      </c>
      <c r="AJ4" s="5"/>
      <c r="AK4" s="6"/>
      <c r="AL4" s="6"/>
    </row>
    <row r="5" spans="1:41" ht="15" customHeight="1" thickBot="1" x14ac:dyDescent="0.3">
      <c r="A5" s="210"/>
      <c r="B5" s="223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5"/>
      <c r="AI5" s="7"/>
      <c r="AJ5" s="8"/>
      <c r="AK5" s="9"/>
      <c r="AL5" s="9"/>
    </row>
    <row r="7" spans="1:41" x14ac:dyDescent="0.25">
      <c r="A7" s="1" t="s">
        <v>6</v>
      </c>
      <c r="B7" s="21">
        <v>26</v>
      </c>
      <c r="C7" s="21"/>
      <c r="AI7" s="1"/>
    </row>
    <row r="8" spans="1:41" x14ac:dyDescent="0.25">
      <c r="A8" s="3" t="s">
        <v>82</v>
      </c>
      <c r="B8" s="21">
        <f>B7*8</f>
        <v>208</v>
      </c>
    </row>
    <row r="9" spans="1:41" ht="15.75" thickBot="1" x14ac:dyDescent="0.3"/>
    <row r="10" spans="1:41" x14ac:dyDescent="0.25">
      <c r="A10" s="215" t="s">
        <v>7</v>
      </c>
      <c r="B10" s="211" t="s">
        <v>8</v>
      </c>
      <c r="C10" s="213" t="s">
        <v>9</v>
      </c>
      <c r="D10" s="98">
        <v>26</v>
      </c>
      <c r="E10" s="96">
        <v>27</v>
      </c>
      <c r="F10" s="96">
        <v>28</v>
      </c>
      <c r="G10" s="96">
        <v>29</v>
      </c>
      <c r="H10" s="96">
        <v>30</v>
      </c>
      <c r="I10" s="96">
        <v>31</v>
      </c>
      <c r="J10" s="96">
        <v>1</v>
      </c>
      <c r="K10" s="25">
        <v>2</v>
      </c>
      <c r="L10" s="96">
        <v>3</v>
      </c>
      <c r="M10" s="96">
        <v>4</v>
      </c>
      <c r="N10" s="96">
        <v>5</v>
      </c>
      <c r="O10" s="96">
        <v>6</v>
      </c>
      <c r="P10" s="96">
        <v>7</v>
      </c>
      <c r="Q10" s="96">
        <v>8</v>
      </c>
      <c r="R10" s="25">
        <v>9</v>
      </c>
      <c r="S10" s="96">
        <v>10</v>
      </c>
      <c r="T10" s="96">
        <v>11</v>
      </c>
      <c r="U10" s="96">
        <v>12</v>
      </c>
      <c r="V10" s="96">
        <v>13</v>
      </c>
      <c r="W10" s="96">
        <v>14</v>
      </c>
      <c r="X10" s="96">
        <v>15</v>
      </c>
      <c r="Y10" s="25">
        <v>16</v>
      </c>
      <c r="Z10" s="96">
        <v>17</v>
      </c>
      <c r="AA10" s="96">
        <v>18</v>
      </c>
      <c r="AB10" s="96">
        <v>19</v>
      </c>
      <c r="AC10" s="96">
        <v>20</v>
      </c>
      <c r="AD10" s="96">
        <v>21</v>
      </c>
      <c r="AE10" s="96">
        <v>22</v>
      </c>
      <c r="AF10" s="25">
        <v>23</v>
      </c>
      <c r="AG10" s="96">
        <v>24</v>
      </c>
      <c r="AH10" s="145">
        <v>25</v>
      </c>
      <c r="AI10" s="180" t="s">
        <v>10</v>
      </c>
      <c r="AJ10" s="181"/>
      <c r="AK10" s="181"/>
      <c r="AL10" s="182"/>
      <c r="AM10" s="149" t="s">
        <v>11</v>
      </c>
      <c r="AN10" s="51" t="s">
        <v>12</v>
      </c>
      <c r="AO10" s="24" t="s">
        <v>13</v>
      </c>
    </row>
    <row r="11" spans="1:41" ht="43.5" thickBot="1" x14ac:dyDescent="0.3">
      <c r="A11" s="216"/>
      <c r="B11" s="212"/>
      <c r="C11" s="214"/>
      <c r="D11" s="99" t="s">
        <v>16</v>
      </c>
      <c r="E11" s="68" t="s">
        <v>17</v>
      </c>
      <c r="F11" s="68" t="s">
        <v>18</v>
      </c>
      <c r="G11" s="68" t="s">
        <v>19</v>
      </c>
      <c r="H11" s="68" t="s">
        <v>20</v>
      </c>
      <c r="I11" s="68" t="s">
        <v>14</v>
      </c>
      <c r="J11" s="68" t="s">
        <v>15</v>
      </c>
      <c r="K11" s="50" t="s">
        <v>16</v>
      </c>
      <c r="L11" s="68" t="s">
        <v>17</v>
      </c>
      <c r="M11" s="68" t="s">
        <v>18</v>
      </c>
      <c r="N11" s="68" t="s">
        <v>19</v>
      </c>
      <c r="O11" s="68" t="s">
        <v>20</v>
      </c>
      <c r="P11" s="68" t="s">
        <v>14</v>
      </c>
      <c r="Q11" s="68" t="s">
        <v>15</v>
      </c>
      <c r="R11" s="50" t="s">
        <v>16</v>
      </c>
      <c r="S11" s="68" t="s">
        <v>17</v>
      </c>
      <c r="T11" s="68" t="s">
        <v>18</v>
      </c>
      <c r="U11" s="68" t="s">
        <v>19</v>
      </c>
      <c r="V11" s="68" t="s">
        <v>20</v>
      </c>
      <c r="W11" s="68" t="s">
        <v>14</v>
      </c>
      <c r="X11" s="68" t="s">
        <v>15</v>
      </c>
      <c r="Y11" s="50" t="s">
        <v>16</v>
      </c>
      <c r="Z11" s="68" t="s">
        <v>17</v>
      </c>
      <c r="AA11" s="68" t="s">
        <v>18</v>
      </c>
      <c r="AB11" s="68" t="s">
        <v>19</v>
      </c>
      <c r="AC11" s="68" t="s">
        <v>20</v>
      </c>
      <c r="AD11" s="68" t="s">
        <v>14</v>
      </c>
      <c r="AE11" s="68" t="s">
        <v>15</v>
      </c>
      <c r="AF11" s="50" t="s">
        <v>16</v>
      </c>
      <c r="AG11" s="68" t="s">
        <v>17</v>
      </c>
      <c r="AH11" s="146" t="s">
        <v>18</v>
      </c>
      <c r="AI11" s="37" t="s">
        <v>21</v>
      </c>
      <c r="AJ11" s="38" t="s">
        <v>22</v>
      </c>
      <c r="AK11" s="38" t="s">
        <v>23</v>
      </c>
      <c r="AL11" s="144" t="s">
        <v>1598</v>
      </c>
      <c r="AM11" s="150" t="s">
        <v>24</v>
      </c>
      <c r="AN11" s="52"/>
    </row>
    <row r="12" spans="1:41" x14ac:dyDescent="0.25">
      <c r="A12" s="203" t="s">
        <v>83</v>
      </c>
      <c r="B12" s="19" t="s">
        <v>26</v>
      </c>
      <c r="C12" s="97" t="s">
        <v>27</v>
      </c>
      <c r="D12" s="93" t="s">
        <v>29</v>
      </c>
      <c r="E12" s="94" t="s">
        <v>28</v>
      </c>
      <c r="F12" s="94"/>
      <c r="G12" s="95"/>
      <c r="H12" s="94" t="s">
        <v>29</v>
      </c>
      <c r="I12" s="94" t="s">
        <v>29</v>
      </c>
      <c r="J12" s="94" t="s">
        <v>28</v>
      </c>
      <c r="K12" s="95"/>
      <c r="L12" s="122"/>
      <c r="M12" s="94" t="s">
        <v>29</v>
      </c>
      <c r="N12" s="94" t="s">
        <v>29</v>
      </c>
      <c r="O12" s="94" t="s">
        <v>28</v>
      </c>
      <c r="P12" s="94"/>
      <c r="Q12" s="125"/>
      <c r="R12" s="125"/>
      <c r="S12" s="94" t="s">
        <v>29</v>
      </c>
      <c r="T12" s="94" t="s">
        <v>28</v>
      </c>
      <c r="U12" s="94"/>
      <c r="V12" s="122"/>
      <c r="W12" s="94" t="s">
        <v>28</v>
      </c>
      <c r="X12" s="95"/>
      <c r="Y12" s="95" t="s">
        <v>29</v>
      </c>
      <c r="Z12" s="95" t="s">
        <v>30</v>
      </c>
      <c r="AA12" s="95"/>
      <c r="AB12" s="95" t="s">
        <v>30</v>
      </c>
      <c r="AC12" s="95" t="s">
        <v>28</v>
      </c>
      <c r="AD12" s="95"/>
      <c r="AE12" s="95" t="s">
        <v>28</v>
      </c>
      <c r="AF12" s="95"/>
      <c r="AG12" s="95" t="s">
        <v>30</v>
      </c>
      <c r="AH12" s="147" t="s">
        <v>28</v>
      </c>
      <c r="AI12" s="40">
        <f t="shared" ref="AI12:AI32" si="0">COUNTIF(D12:AH12,"HC")</f>
        <v>3</v>
      </c>
      <c r="AJ12" s="15">
        <f t="shared" ref="AJ12:AJ32" si="1">COUNTIF(D12:AH12,"M")</f>
        <v>7</v>
      </c>
      <c r="AK12" s="15">
        <f t="shared" ref="AK12:AK32" si="2">COUNTIF(D12:AH12,"E")</f>
        <v>8</v>
      </c>
      <c r="AL12" s="67"/>
      <c r="AM12" s="149" cm="1">
        <f t="array" ref="AM12">SUM(COUNTIF(D12:AH12,{"NL","P","B","T","SN"}))</f>
        <v>0</v>
      </c>
      <c r="AN12" s="51">
        <f>AI12*8+AJ12*12+AK12*12+AM12*8</f>
        <v>204</v>
      </c>
      <c r="AO12" s="24" t="s">
        <v>1601</v>
      </c>
    </row>
    <row r="13" spans="1:41" x14ac:dyDescent="0.25">
      <c r="A13" s="204"/>
      <c r="B13" s="20" t="s">
        <v>31</v>
      </c>
      <c r="C13" s="49" t="s">
        <v>32</v>
      </c>
      <c r="D13" s="80" t="s">
        <v>28</v>
      </c>
      <c r="E13" s="79"/>
      <c r="F13" s="79"/>
      <c r="G13" s="79" t="s">
        <v>29</v>
      </c>
      <c r="H13" s="79" t="s">
        <v>29</v>
      </c>
      <c r="I13" s="79" t="s">
        <v>28</v>
      </c>
      <c r="J13" s="59"/>
      <c r="K13" s="59"/>
      <c r="L13" s="79" t="s">
        <v>29</v>
      </c>
      <c r="M13" s="121" t="s">
        <v>28</v>
      </c>
      <c r="N13" s="79"/>
      <c r="O13" s="79" t="s">
        <v>29</v>
      </c>
      <c r="P13" s="79"/>
      <c r="Q13" s="79" t="s">
        <v>29</v>
      </c>
      <c r="R13" s="79" t="s">
        <v>28</v>
      </c>
      <c r="S13" s="79"/>
      <c r="T13" s="121"/>
      <c r="U13" s="79" t="s">
        <v>28</v>
      </c>
      <c r="V13" s="79" t="s">
        <v>28</v>
      </c>
      <c r="W13" s="79"/>
      <c r="X13" s="79" t="s">
        <v>29</v>
      </c>
      <c r="Y13" s="79"/>
      <c r="Z13" s="81" t="s">
        <v>30</v>
      </c>
      <c r="AA13" s="81" t="s">
        <v>29</v>
      </c>
      <c r="AB13" s="81" t="s">
        <v>30</v>
      </c>
      <c r="AC13" s="81"/>
      <c r="AD13" s="81" t="s">
        <v>28</v>
      </c>
      <c r="AE13" s="79"/>
      <c r="AF13" s="79" t="s">
        <v>29</v>
      </c>
      <c r="AG13" s="81" t="s">
        <v>30</v>
      </c>
      <c r="AH13" s="87"/>
      <c r="AI13" s="35">
        <f t="shared" si="0"/>
        <v>3</v>
      </c>
      <c r="AJ13" s="2">
        <f t="shared" si="1"/>
        <v>8</v>
      </c>
      <c r="AK13" s="2">
        <f t="shared" si="2"/>
        <v>7</v>
      </c>
      <c r="AL13" s="155"/>
      <c r="AM13" s="151" cm="1">
        <f t="array" ref="AM13">SUM(COUNTIF(D13:AH13,{"NL","P","B","T","SN"}))</f>
        <v>0</v>
      </c>
      <c r="AN13" s="53">
        <f t="shared" ref="AN13:AN29" si="3">AI13*8+AJ13*12+AK13*12+AM13*8</f>
        <v>204</v>
      </c>
      <c r="AO13" s="24" t="s">
        <v>1601</v>
      </c>
    </row>
    <row r="14" spans="1:41" x14ac:dyDescent="0.25">
      <c r="A14" s="204"/>
      <c r="B14" s="20" t="s">
        <v>33</v>
      </c>
      <c r="C14" s="49" t="s">
        <v>34</v>
      </c>
      <c r="D14" s="80"/>
      <c r="E14" s="79" t="s">
        <v>29</v>
      </c>
      <c r="F14" s="79" t="s">
        <v>28</v>
      </c>
      <c r="G14" s="79"/>
      <c r="H14" s="79"/>
      <c r="I14" s="79" t="s">
        <v>29</v>
      </c>
      <c r="J14" s="59"/>
      <c r="K14" s="79" t="s">
        <v>28</v>
      </c>
      <c r="L14" s="79"/>
      <c r="M14" s="79"/>
      <c r="N14" s="79" t="s">
        <v>28</v>
      </c>
      <c r="O14" s="79"/>
      <c r="P14" s="79" t="s">
        <v>30</v>
      </c>
      <c r="Q14" s="79" t="s">
        <v>28</v>
      </c>
      <c r="R14" s="79"/>
      <c r="S14" s="79"/>
      <c r="T14" s="79" t="s">
        <v>29</v>
      </c>
      <c r="U14" s="79" t="s">
        <v>29</v>
      </c>
      <c r="V14" s="79"/>
      <c r="W14" s="79" t="s">
        <v>30</v>
      </c>
      <c r="X14" s="79" t="s">
        <v>28</v>
      </c>
      <c r="Y14" s="79" t="s">
        <v>28</v>
      </c>
      <c r="Z14" s="79" t="s">
        <v>28</v>
      </c>
      <c r="AA14" s="81"/>
      <c r="AB14" s="81" t="s">
        <v>29</v>
      </c>
      <c r="AC14" s="81" t="s">
        <v>29</v>
      </c>
      <c r="AD14" s="81"/>
      <c r="AE14" s="81" t="s">
        <v>29</v>
      </c>
      <c r="AF14" s="81" t="s">
        <v>28</v>
      </c>
      <c r="AG14" s="81" t="s">
        <v>28</v>
      </c>
      <c r="AH14" s="87"/>
      <c r="AI14" s="35">
        <f t="shared" si="0"/>
        <v>2</v>
      </c>
      <c r="AJ14" s="2">
        <f t="shared" si="1"/>
        <v>7</v>
      </c>
      <c r="AK14" s="2">
        <f t="shared" si="2"/>
        <v>9</v>
      </c>
      <c r="AL14" s="155"/>
      <c r="AM14" s="151" cm="1">
        <f t="array" ref="AM14">SUM(COUNTIF(D14:AH14,{"NL","P","B","T","SN"}))</f>
        <v>0</v>
      </c>
      <c r="AN14" s="53">
        <f t="shared" si="3"/>
        <v>208</v>
      </c>
      <c r="AO14" s="24" t="s">
        <v>1601</v>
      </c>
    </row>
    <row r="15" spans="1:41" x14ac:dyDescent="0.25">
      <c r="A15" s="204"/>
      <c r="B15" s="20" t="s">
        <v>35</v>
      </c>
      <c r="C15" s="49" t="s">
        <v>36</v>
      </c>
      <c r="D15" s="127"/>
      <c r="E15" s="79"/>
      <c r="F15" s="79" t="s">
        <v>29</v>
      </c>
      <c r="G15" s="79" t="s">
        <v>28</v>
      </c>
      <c r="H15" s="79" t="s">
        <v>28</v>
      </c>
      <c r="I15" s="79"/>
      <c r="J15" s="79" t="s">
        <v>29</v>
      </c>
      <c r="K15" s="79" t="s">
        <v>29</v>
      </c>
      <c r="L15" s="121" t="s">
        <v>28</v>
      </c>
      <c r="M15" s="79"/>
      <c r="N15" s="79"/>
      <c r="O15" s="79"/>
      <c r="P15" s="79" t="s">
        <v>28</v>
      </c>
      <c r="Q15" s="79"/>
      <c r="R15" s="79" t="s">
        <v>29</v>
      </c>
      <c r="S15" s="79" t="s">
        <v>28</v>
      </c>
      <c r="T15" s="79"/>
      <c r="U15" s="79" t="s">
        <v>29</v>
      </c>
      <c r="V15" s="79" t="s">
        <v>29</v>
      </c>
      <c r="W15" s="121"/>
      <c r="X15" s="59"/>
      <c r="Y15" s="59"/>
      <c r="Z15" s="79" t="s">
        <v>29</v>
      </c>
      <c r="AA15" s="81" t="s">
        <v>28</v>
      </c>
      <c r="AB15" s="81" t="s">
        <v>28</v>
      </c>
      <c r="AC15" s="81"/>
      <c r="AD15" s="81" t="s">
        <v>29</v>
      </c>
      <c r="AE15" s="69"/>
      <c r="AF15" s="69"/>
      <c r="AG15" s="81" t="s">
        <v>29</v>
      </c>
      <c r="AH15" s="87" t="s">
        <v>29</v>
      </c>
      <c r="AI15" s="35">
        <f t="shared" si="0"/>
        <v>0</v>
      </c>
      <c r="AJ15" s="2">
        <f t="shared" si="1"/>
        <v>10</v>
      </c>
      <c r="AK15" s="2">
        <f t="shared" si="2"/>
        <v>7</v>
      </c>
      <c r="AL15" s="155"/>
      <c r="AM15" s="151" cm="1">
        <f t="array" ref="AM15">SUM(COUNTIF(D15:AH15,{"NL","P","B","T","SN"}))</f>
        <v>0</v>
      </c>
      <c r="AN15" s="53">
        <f t="shared" si="3"/>
        <v>204</v>
      </c>
      <c r="AO15" s="24" t="s">
        <v>1601</v>
      </c>
    </row>
    <row r="16" spans="1:41" ht="15.75" thickBot="1" x14ac:dyDescent="0.3">
      <c r="A16" s="205"/>
      <c r="B16" s="61" t="s">
        <v>1602</v>
      </c>
      <c r="C16" s="62" t="s">
        <v>89</v>
      </c>
      <c r="D16" s="82"/>
      <c r="E16" s="83" t="s">
        <v>30</v>
      </c>
      <c r="F16" s="83" t="s">
        <v>29</v>
      </c>
      <c r="G16" s="83"/>
      <c r="H16" s="83" t="s">
        <v>30</v>
      </c>
      <c r="I16" s="83"/>
      <c r="J16" s="83"/>
      <c r="K16" s="83"/>
      <c r="L16" s="83"/>
      <c r="M16" s="83"/>
      <c r="N16" s="83" t="s">
        <v>29</v>
      </c>
      <c r="O16" s="83"/>
      <c r="P16" s="83" t="s">
        <v>29</v>
      </c>
      <c r="Q16" s="83"/>
      <c r="R16" s="83"/>
      <c r="S16" s="83" t="s">
        <v>30</v>
      </c>
      <c r="T16" s="83" t="s">
        <v>29</v>
      </c>
      <c r="U16" s="83"/>
      <c r="V16" s="83"/>
      <c r="W16" s="84" t="s">
        <v>29</v>
      </c>
      <c r="X16" s="83"/>
      <c r="Y16" s="84"/>
      <c r="Z16" s="84" t="s">
        <v>30</v>
      </c>
      <c r="AA16" s="84" t="s">
        <v>29</v>
      </c>
      <c r="AB16" s="84"/>
      <c r="AC16" s="84"/>
      <c r="AD16" s="84" t="s">
        <v>29</v>
      </c>
      <c r="AE16" s="84"/>
      <c r="AF16" s="84"/>
      <c r="AG16" s="84" t="s">
        <v>30</v>
      </c>
      <c r="AH16" s="89" t="s">
        <v>29</v>
      </c>
      <c r="AI16" s="39">
        <f t="shared" si="0"/>
        <v>5</v>
      </c>
      <c r="AJ16" s="26">
        <f t="shared" si="1"/>
        <v>8</v>
      </c>
      <c r="AK16" s="26">
        <f t="shared" si="2"/>
        <v>0</v>
      </c>
      <c r="AL16" s="157"/>
      <c r="AM16" s="152" cm="1">
        <f t="array" ref="AM16">SUM(COUNTIF(D16:AH16,{"NL","P","B","T","SN"}))</f>
        <v>0</v>
      </c>
      <c r="AN16" s="55">
        <f t="shared" si="3"/>
        <v>136</v>
      </c>
    </row>
    <row r="17" spans="1:41" x14ac:dyDescent="0.25">
      <c r="A17" s="203" t="s">
        <v>39</v>
      </c>
      <c r="B17" s="27" t="s">
        <v>40</v>
      </c>
      <c r="C17" s="64" t="s">
        <v>41</v>
      </c>
      <c r="D17" s="119"/>
      <c r="E17" s="77" t="s">
        <v>29</v>
      </c>
      <c r="F17" s="77" t="s">
        <v>29</v>
      </c>
      <c r="G17" s="77" t="s">
        <v>28</v>
      </c>
      <c r="H17" s="78"/>
      <c r="I17" s="78" t="s">
        <v>29</v>
      </c>
      <c r="J17" s="120"/>
      <c r="K17" s="120"/>
      <c r="L17" s="78" t="s">
        <v>28</v>
      </c>
      <c r="M17" s="124" t="s">
        <v>28</v>
      </c>
      <c r="N17" s="78"/>
      <c r="O17" s="78" t="s">
        <v>29</v>
      </c>
      <c r="P17" s="78" t="s">
        <v>28</v>
      </c>
      <c r="Q17" s="78"/>
      <c r="R17" s="78" t="s">
        <v>29</v>
      </c>
      <c r="S17" s="124" t="s">
        <v>28</v>
      </c>
      <c r="T17" s="78" t="s">
        <v>28</v>
      </c>
      <c r="U17" s="78"/>
      <c r="V17" s="78" t="s">
        <v>29</v>
      </c>
      <c r="W17" s="78" t="s">
        <v>28</v>
      </c>
      <c r="X17" s="78"/>
      <c r="Y17" s="78" t="s">
        <v>28</v>
      </c>
      <c r="Z17" s="78" t="s">
        <v>28</v>
      </c>
      <c r="AA17" s="78"/>
      <c r="AB17" s="78" t="s">
        <v>29</v>
      </c>
      <c r="AC17" s="60"/>
      <c r="AD17" s="60"/>
      <c r="AE17" s="60"/>
      <c r="AF17" s="60"/>
      <c r="AG17" s="78" t="s">
        <v>28</v>
      </c>
      <c r="AH17" s="85"/>
      <c r="AI17" s="40">
        <f t="shared" si="0"/>
        <v>0</v>
      </c>
      <c r="AJ17" s="15">
        <f t="shared" si="1"/>
        <v>7</v>
      </c>
      <c r="AK17" s="15">
        <f t="shared" si="2"/>
        <v>10</v>
      </c>
      <c r="AL17" s="168"/>
      <c r="AM17" s="171" cm="1">
        <f t="array" ref="AM17">SUM(COUNTIF(D17:AH17,{"NL","P","B","T","SN"}))</f>
        <v>0</v>
      </c>
      <c r="AN17" s="158">
        <f t="shared" si="3"/>
        <v>204</v>
      </c>
      <c r="AO17" s="24" t="s">
        <v>1601</v>
      </c>
    </row>
    <row r="18" spans="1:41" x14ac:dyDescent="0.25">
      <c r="A18" s="204"/>
      <c r="B18" s="63" t="s">
        <v>42</v>
      </c>
      <c r="C18" s="65" t="s">
        <v>43</v>
      </c>
      <c r="D18" s="86" t="s">
        <v>29</v>
      </c>
      <c r="E18" s="81" t="s">
        <v>28</v>
      </c>
      <c r="F18" s="79"/>
      <c r="G18" s="59"/>
      <c r="H18" s="69"/>
      <c r="I18" s="81" t="s">
        <v>29</v>
      </c>
      <c r="J18" s="79" t="s">
        <v>28</v>
      </c>
      <c r="K18" s="79" t="s">
        <v>28</v>
      </c>
      <c r="L18" s="123"/>
      <c r="M18" s="81"/>
      <c r="N18" s="81" t="s">
        <v>29</v>
      </c>
      <c r="O18" s="81" t="s">
        <v>28</v>
      </c>
      <c r="P18" s="81"/>
      <c r="Q18" s="81"/>
      <c r="R18" s="81"/>
      <c r="S18" s="81" t="s">
        <v>29</v>
      </c>
      <c r="T18" s="123" t="s">
        <v>28</v>
      </c>
      <c r="U18" s="81"/>
      <c r="V18" s="81" t="s">
        <v>29</v>
      </c>
      <c r="W18" s="79" t="s">
        <v>29</v>
      </c>
      <c r="X18" s="59"/>
      <c r="Y18" s="59"/>
      <c r="Z18" s="79"/>
      <c r="AA18" s="79" t="s">
        <v>29</v>
      </c>
      <c r="AB18" s="81" t="s">
        <v>28</v>
      </c>
      <c r="AC18" s="81" t="s">
        <v>28</v>
      </c>
      <c r="AD18" s="81"/>
      <c r="AE18" s="81" t="s">
        <v>29</v>
      </c>
      <c r="AF18" s="81" t="s">
        <v>28</v>
      </c>
      <c r="AG18" s="81"/>
      <c r="AH18" s="87" t="s">
        <v>29</v>
      </c>
      <c r="AI18" s="35">
        <f t="shared" si="0"/>
        <v>0</v>
      </c>
      <c r="AJ18" s="2">
        <f t="shared" si="1"/>
        <v>9</v>
      </c>
      <c r="AK18" s="2">
        <f t="shared" si="2"/>
        <v>8</v>
      </c>
      <c r="AL18" s="169"/>
      <c r="AM18" s="172" cm="1">
        <f t="array" ref="AM18">SUM(COUNTIF(D18:AH18,{"NL","P","B","T","SN"}))</f>
        <v>0</v>
      </c>
      <c r="AN18" s="174">
        <f t="shared" si="3"/>
        <v>204</v>
      </c>
      <c r="AO18" s="24" t="s">
        <v>1601</v>
      </c>
    </row>
    <row r="19" spans="1:41" x14ac:dyDescent="0.25">
      <c r="A19" s="204"/>
      <c r="B19" s="74" t="s">
        <v>46</v>
      </c>
      <c r="C19" s="65" t="s">
        <v>47</v>
      </c>
      <c r="D19" s="88"/>
      <c r="E19" s="83"/>
      <c r="F19" s="83" t="s">
        <v>28</v>
      </c>
      <c r="G19" s="83"/>
      <c r="H19" s="84" t="s">
        <v>29</v>
      </c>
      <c r="I19" s="84" t="s">
        <v>28</v>
      </c>
      <c r="J19" s="84"/>
      <c r="K19" s="83" t="s">
        <v>29</v>
      </c>
      <c r="L19" s="84" t="s">
        <v>29</v>
      </c>
      <c r="M19" s="131" t="s">
        <v>28</v>
      </c>
      <c r="N19" s="84"/>
      <c r="O19" s="84"/>
      <c r="P19" s="84"/>
      <c r="Q19" s="84" t="s">
        <v>29</v>
      </c>
      <c r="R19" s="84" t="s">
        <v>28</v>
      </c>
      <c r="S19" s="84"/>
      <c r="T19" s="131"/>
      <c r="U19" s="84" t="s">
        <v>29</v>
      </c>
      <c r="V19" s="126"/>
      <c r="W19" s="126"/>
      <c r="X19" s="84" t="s">
        <v>28</v>
      </c>
      <c r="Y19" s="84"/>
      <c r="Z19" s="84" t="s">
        <v>29</v>
      </c>
      <c r="AA19" s="84" t="s">
        <v>28</v>
      </c>
      <c r="AB19" s="84"/>
      <c r="AC19" s="84" t="s">
        <v>29</v>
      </c>
      <c r="AD19" s="84" t="s">
        <v>29</v>
      </c>
      <c r="AE19" s="84" t="s">
        <v>28</v>
      </c>
      <c r="AF19" s="84"/>
      <c r="AG19" s="84" t="s">
        <v>29</v>
      </c>
      <c r="AH19" s="89" t="s">
        <v>28</v>
      </c>
      <c r="AI19" s="35">
        <f>COUNTIF(D19:AH19,"HC")</f>
        <v>0</v>
      </c>
      <c r="AJ19" s="2">
        <f>COUNTIF(D19:AH19,"M")</f>
        <v>9</v>
      </c>
      <c r="AK19" s="2">
        <f>COUNTIF(D19:AH19,"E")</f>
        <v>8</v>
      </c>
      <c r="AL19" s="169"/>
      <c r="AM19" s="172" cm="1">
        <f t="array" ref="AM19">SUM(COUNTIF(D19:AH19,{"NL","P","B","T","SN"}))</f>
        <v>0</v>
      </c>
      <c r="AN19" s="174">
        <f>AI19*8+AJ19*12+AK19*12+AM19*8</f>
        <v>204</v>
      </c>
      <c r="AO19" s="24" t="s">
        <v>1601</v>
      </c>
    </row>
    <row r="20" spans="1:41" x14ac:dyDescent="0.25">
      <c r="A20" s="204"/>
      <c r="B20" s="61" t="s">
        <v>37</v>
      </c>
      <c r="C20" s="62" t="s">
        <v>38</v>
      </c>
      <c r="D20" s="82"/>
      <c r="E20" s="83"/>
      <c r="F20" s="83" t="s">
        <v>29</v>
      </c>
      <c r="G20" s="83" t="s">
        <v>29</v>
      </c>
      <c r="H20" s="83" t="s">
        <v>28</v>
      </c>
      <c r="I20" s="83"/>
      <c r="J20" s="83" t="s">
        <v>29</v>
      </c>
      <c r="K20" s="83"/>
      <c r="L20" s="83" t="s">
        <v>29</v>
      </c>
      <c r="M20" s="83" t="s">
        <v>29</v>
      </c>
      <c r="N20" s="83" t="s">
        <v>28</v>
      </c>
      <c r="O20" s="83"/>
      <c r="P20" s="83" t="s">
        <v>29</v>
      </c>
      <c r="Q20" s="83" t="s">
        <v>28</v>
      </c>
      <c r="R20" s="83"/>
      <c r="S20" s="83"/>
      <c r="T20" s="83" t="s">
        <v>29</v>
      </c>
      <c r="U20" s="83" t="s">
        <v>28</v>
      </c>
      <c r="V20" s="83" t="s">
        <v>28</v>
      </c>
      <c r="W20" s="83"/>
      <c r="X20" s="83" t="s">
        <v>29</v>
      </c>
      <c r="Y20" s="83" t="s">
        <v>29</v>
      </c>
      <c r="Z20" s="176"/>
      <c r="AA20" s="126"/>
      <c r="AB20" s="126"/>
      <c r="AC20" s="126"/>
      <c r="AD20" s="84" t="s">
        <v>28</v>
      </c>
      <c r="AE20" s="84"/>
      <c r="AF20" s="84" t="s">
        <v>29</v>
      </c>
      <c r="AG20" s="84" t="s">
        <v>28</v>
      </c>
      <c r="AH20" s="89"/>
      <c r="AI20" s="35">
        <f t="shared" ref="AI20" si="4">COUNTIF(D20:AH20,"HC")</f>
        <v>0</v>
      </c>
      <c r="AJ20" s="2">
        <f t="shared" ref="AJ20" si="5">COUNTIF(D20:AH20,"M")</f>
        <v>10</v>
      </c>
      <c r="AK20" s="2">
        <f t="shared" ref="AK20" si="6">COUNTIF(D20:AH20,"E")</f>
        <v>7</v>
      </c>
      <c r="AL20" s="155"/>
      <c r="AM20" s="151" cm="1">
        <f t="array" ref="AM20">SUM(COUNTIF(D20:AH20,{"NL","P","B","T","SN"}))</f>
        <v>0</v>
      </c>
      <c r="AN20" s="53">
        <f t="shared" ref="AN20" si="7">AI20*8+AJ20*12+AK20*12+AM20*8</f>
        <v>204</v>
      </c>
      <c r="AO20" s="24" t="s">
        <v>1601</v>
      </c>
    </row>
    <row r="21" spans="1:41" ht="15.75" thickBot="1" x14ac:dyDescent="0.3">
      <c r="A21" s="205"/>
      <c r="B21" s="63" t="s">
        <v>44</v>
      </c>
      <c r="C21" s="66" t="s">
        <v>45</v>
      </c>
      <c r="D21" s="86" t="s">
        <v>28</v>
      </c>
      <c r="E21" s="79" t="s">
        <v>28</v>
      </c>
      <c r="F21" s="79"/>
      <c r="G21" s="69"/>
      <c r="H21" s="69"/>
      <c r="I21" s="69"/>
      <c r="J21" s="5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59"/>
      <c r="Y21" s="59"/>
      <c r="Z21" s="59"/>
      <c r="AA21" s="59"/>
      <c r="AB21" s="69"/>
      <c r="AC21" s="69"/>
      <c r="AD21" s="69"/>
      <c r="AE21" s="69"/>
      <c r="AF21" s="69"/>
      <c r="AG21" s="69"/>
      <c r="AH21" s="166"/>
      <c r="AI21" s="36">
        <f t="shared" si="0"/>
        <v>0</v>
      </c>
      <c r="AJ21" s="14">
        <f t="shared" si="1"/>
        <v>0</v>
      </c>
      <c r="AK21" s="14">
        <f t="shared" si="2"/>
        <v>2</v>
      </c>
      <c r="AL21" s="170"/>
      <c r="AM21" s="173" cm="1">
        <f t="array" ref="AM21">SUM(COUNTIF(D21:AH21,{"NL","P","B","T","SN"}))</f>
        <v>0</v>
      </c>
      <c r="AN21" s="175">
        <f t="shared" si="3"/>
        <v>24</v>
      </c>
      <c r="AO21" s="24"/>
    </row>
    <row r="22" spans="1:41" x14ac:dyDescent="0.25">
      <c r="A22" s="201" t="s">
        <v>48</v>
      </c>
      <c r="B22" s="19" t="s">
        <v>49</v>
      </c>
      <c r="C22" s="167" t="s">
        <v>50</v>
      </c>
      <c r="D22" s="76"/>
      <c r="E22" s="78" t="s">
        <v>30</v>
      </c>
      <c r="F22" s="77" t="s">
        <v>30</v>
      </c>
      <c r="G22" s="77" t="s">
        <v>30</v>
      </c>
      <c r="H22" s="78" t="s">
        <v>30</v>
      </c>
      <c r="I22" s="78" t="s">
        <v>30</v>
      </c>
      <c r="J22" s="77" t="s">
        <v>29</v>
      </c>
      <c r="K22" s="77" t="s">
        <v>28</v>
      </c>
      <c r="L22" s="132"/>
      <c r="M22" s="77" t="s">
        <v>29</v>
      </c>
      <c r="N22" s="77" t="s">
        <v>29</v>
      </c>
      <c r="O22" s="77" t="s">
        <v>28</v>
      </c>
      <c r="P22" s="77"/>
      <c r="Q22" s="77"/>
      <c r="R22" s="77" t="s">
        <v>29</v>
      </c>
      <c r="S22" s="77" t="s">
        <v>28</v>
      </c>
      <c r="T22" s="77"/>
      <c r="U22" s="77" t="s">
        <v>29</v>
      </c>
      <c r="V22" s="77"/>
      <c r="W22" s="77" t="s">
        <v>28</v>
      </c>
      <c r="X22" s="77"/>
      <c r="Y22" s="77"/>
      <c r="Z22" s="77" t="s">
        <v>29</v>
      </c>
      <c r="AA22" s="77" t="s">
        <v>28</v>
      </c>
      <c r="AB22" s="77"/>
      <c r="AC22" s="120"/>
      <c r="AD22" s="77" t="s">
        <v>29</v>
      </c>
      <c r="AE22" s="77" t="s">
        <v>28</v>
      </c>
      <c r="AF22" s="77"/>
      <c r="AG22" s="77"/>
      <c r="AH22" s="85" t="s">
        <v>29</v>
      </c>
      <c r="AI22" s="56">
        <f t="shared" si="0"/>
        <v>5</v>
      </c>
      <c r="AJ22" s="57">
        <f t="shared" si="1"/>
        <v>8</v>
      </c>
      <c r="AK22" s="57">
        <f t="shared" si="2"/>
        <v>6</v>
      </c>
      <c r="AL22" s="155"/>
      <c r="AM22" s="154" cm="1">
        <f t="array" ref="AM22">SUM(COUNTIF(D22:AH22,{"NL","P","B","T","SN"}))</f>
        <v>0</v>
      </c>
      <c r="AN22" s="58">
        <f t="shared" ref="AN22:AN25" si="8">AI22*8+AJ22*12+AK22*12+AM22*8</f>
        <v>208</v>
      </c>
      <c r="AO22" s="24"/>
    </row>
    <row r="23" spans="1:41" x14ac:dyDescent="0.25">
      <c r="A23" s="202"/>
      <c r="B23" s="20" t="s">
        <v>51</v>
      </c>
      <c r="C23" s="72" t="s">
        <v>52</v>
      </c>
      <c r="D23" s="80"/>
      <c r="E23" s="81" t="s">
        <v>30</v>
      </c>
      <c r="F23" s="79" t="s">
        <v>30</v>
      </c>
      <c r="G23" s="79" t="s">
        <v>30</v>
      </c>
      <c r="H23" s="81" t="s">
        <v>30</v>
      </c>
      <c r="I23" s="81" t="s">
        <v>30</v>
      </c>
      <c r="J23" s="79"/>
      <c r="K23" s="79" t="s">
        <v>29</v>
      </c>
      <c r="L23" s="81" t="s">
        <v>28</v>
      </c>
      <c r="M23" s="121"/>
      <c r="N23" s="79"/>
      <c r="O23" s="79" t="s">
        <v>29</v>
      </c>
      <c r="P23" s="79" t="s">
        <v>28</v>
      </c>
      <c r="Q23" s="79"/>
      <c r="R23" s="79" t="s">
        <v>29</v>
      </c>
      <c r="S23" s="79" t="s">
        <v>29</v>
      </c>
      <c r="T23" s="79" t="s">
        <v>28</v>
      </c>
      <c r="U23" s="79"/>
      <c r="V23" s="79" t="s">
        <v>29</v>
      </c>
      <c r="W23" s="79" t="s">
        <v>29</v>
      </c>
      <c r="X23" s="79" t="s">
        <v>28</v>
      </c>
      <c r="Y23" s="79"/>
      <c r="Z23" s="79" t="s">
        <v>29</v>
      </c>
      <c r="AA23" s="79"/>
      <c r="AB23" s="79" t="s">
        <v>28</v>
      </c>
      <c r="AC23" s="79"/>
      <c r="AD23" s="79"/>
      <c r="AE23" s="79" t="s">
        <v>29</v>
      </c>
      <c r="AF23" s="79" t="s">
        <v>28</v>
      </c>
      <c r="AG23" s="79"/>
      <c r="AH23" s="87"/>
      <c r="AI23" s="35">
        <f t="shared" si="0"/>
        <v>5</v>
      </c>
      <c r="AJ23" s="2">
        <f t="shared" si="1"/>
        <v>8</v>
      </c>
      <c r="AK23" s="2">
        <f t="shared" si="2"/>
        <v>6</v>
      </c>
      <c r="AL23" s="155"/>
      <c r="AM23" s="151" cm="1">
        <f t="array" ref="AM23">SUM(COUNTIF(D23:AH23,{"NL","P","B","T","SN"}))</f>
        <v>0</v>
      </c>
      <c r="AN23" s="53">
        <f t="shared" si="8"/>
        <v>208</v>
      </c>
      <c r="AO23" s="24"/>
    </row>
    <row r="24" spans="1:41" x14ac:dyDescent="0.25">
      <c r="A24" s="202"/>
      <c r="B24" s="20" t="s">
        <v>53</v>
      </c>
      <c r="C24" s="72" t="s">
        <v>54</v>
      </c>
      <c r="D24" s="80"/>
      <c r="E24" s="81" t="s">
        <v>30</v>
      </c>
      <c r="F24" s="79" t="s">
        <v>30</v>
      </c>
      <c r="G24" s="79" t="s">
        <v>30</v>
      </c>
      <c r="H24" s="81" t="s">
        <v>30</v>
      </c>
      <c r="I24" s="81" t="s">
        <v>30</v>
      </c>
      <c r="J24" s="59"/>
      <c r="K24" s="59"/>
      <c r="L24" s="81" t="s">
        <v>29</v>
      </c>
      <c r="M24" s="121" t="s">
        <v>28</v>
      </c>
      <c r="N24" s="79"/>
      <c r="O24" s="79" t="s">
        <v>29</v>
      </c>
      <c r="P24" s="79" t="s">
        <v>29</v>
      </c>
      <c r="Q24" s="79" t="s">
        <v>28</v>
      </c>
      <c r="R24" s="79"/>
      <c r="S24" s="79"/>
      <c r="T24" s="79" t="s">
        <v>29</v>
      </c>
      <c r="U24" s="79" t="s">
        <v>28</v>
      </c>
      <c r="V24" s="79"/>
      <c r="W24" s="79"/>
      <c r="X24" s="79" t="s">
        <v>29</v>
      </c>
      <c r="Y24" s="79" t="s">
        <v>28</v>
      </c>
      <c r="Z24" s="79"/>
      <c r="AA24" s="79" t="s">
        <v>29</v>
      </c>
      <c r="AB24" s="79" t="s">
        <v>29</v>
      </c>
      <c r="AC24" s="79" t="s">
        <v>28</v>
      </c>
      <c r="AD24" s="79"/>
      <c r="AE24" s="79"/>
      <c r="AF24" s="79" t="s">
        <v>29</v>
      </c>
      <c r="AG24" s="79" t="s">
        <v>28</v>
      </c>
      <c r="AH24" s="87"/>
      <c r="AI24" s="35">
        <f t="shared" si="0"/>
        <v>5</v>
      </c>
      <c r="AJ24" s="2">
        <f t="shared" si="1"/>
        <v>8</v>
      </c>
      <c r="AK24" s="2">
        <f t="shared" si="2"/>
        <v>6</v>
      </c>
      <c r="AL24" s="155"/>
      <c r="AM24" s="151" cm="1">
        <f t="array" ref="AM24">SUM(COUNTIF(D24:AH24,{"NL","P","B","T","SN"}))</f>
        <v>0</v>
      </c>
      <c r="AN24" s="53">
        <f t="shared" ref="AN24" si="9">AI24*8+AJ24*12+AK24*12+AM24*8</f>
        <v>208</v>
      </c>
      <c r="AO24" s="24"/>
    </row>
    <row r="25" spans="1:41" ht="15.75" thickBot="1" x14ac:dyDescent="0.3">
      <c r="A25" s="202"/>
      <c r="B25" s="75" t="s">
        <v>55</v>
      </c>
      <c r="C25" s="73" t="s">
        <v>56</v>
      </c>
      <c r="D25" s="90"/>
      <c r="E25" s="91" t="s">
        <v>30</v>
      </c>
      <c r="F25" s="91" t="s">
        <v>30</v>
      </c>
      <c r="G25" s="91" t="s">
        <v>30</v>
      </c>
      <c r="H25" s="92" t="s">
        <v>30</v>
      </c>
      <c r="I25" s="92" t="s">
        <v>30</v>
      </c>
      <c r="J25" s="91" t="s">
        <v>28</v>
      </c>
      <c r="K25" s="91"/>
      <c r="L25" s="92"/>
      <c r="M25" s="134"/>
      <c r="N25" s="91" t="s">
        <v>28</v>
      </c>
      <c r="O25" s="91"/>
      <c r="P25" s="91"/>
      <c r="Q25" s="91" t="s">
        <v>29</v>
      </c>
      <c r="R25" s="91" t="s">
        <v>28</v>
      </c>
      <c r="S25" s="91"/>
      <c r="T25" s="91"/>
      <c r="U25" s="91" t="s">
        <v>29</v>
      </c>
      <c r="V25" s="91" t="s">
        <v>28</v>
      </c>
      <c r="W25" s="91"/>
      <c r="X25" s="91" t="s">
        <v>29</v>
      </c>
      <c r="Y25" s="91" t="s">
        <v>29</v>
      </c>
      <c r="Z25" s="91" t="s">
        <v>28</v>
      </c>
      <c r="AA25" s="91"/>
      <c r="AB25" s="91" t="s">
        <v>29</v>
      </c>
      <c r="AC25" s="91" t="s">
        <v>29</v>
      </c>
      <c r="AD25" s="91" t="s">
        <v>28</v>
      </c>
      <c r="AE25" s="91"/>
      <c r="AF25" s="91"/>
      <c r="AG25" s="91" t="s">
        <v>29</v>
      </c>
      <c r="AH25" s="148" t="s">
        <v>28</v>
      </c>
      <c r="AI25" s="36">
        <f t="shared" si="0"/>
        <v>5</v>
      </c>
      <c r="AJ25" s="14">
        <f t="shared" si="1"/>
        <v>7</v>
      </c>
      <c r="AK25" s="14">
        <f t="shared" si="2"/>
        <v>7</v>
      </c>
      <c r="AL25" s="156"/>
      <c r="AM25" s="153" cm="1">
        <f t="array" ref="AM25">SUM(COUNTIF(D25:AH25,{"NL","P","B","T","SN"}))</f>
        <v>0</v>
      </c>
      <c r="AN25" s="54">
        <f t="shared" si="8"/>
        <v>208</v>
      </c>
      <c r="AO25" s="24"/>
    </row>
    <row r="26" spans="1:41" x14ac:dyDescent="0.25">
      <c r="A26" s="196" t="s">
        <v>57</v>
      </c>
      <c r="B26" s="18" t="s">
        <v>58</v>
      </c>
      <c r="C26" s="30" t="s">
        <v>59</v>
      </c>
      <c r="D26" s="93"/>
      <c r="E26" s="94" t="s">
        <v>29</v>
      </c>
      <c r="F26" s="94" t="s">
        <v>29</v>
      </c>
      <c r="G26" s="94" t="s">
        <v>28</v>
      </c>
      <c r="H26" s="94"/>
      <c r="I26" s="94" t="s">
        <v>29</v>
      </c>
      <c r="J26" s="94" t="s">
        <v>28</v>
      </c>
      <c r="K26" s="94"/>
      <c r="L26" s="94" t="s">
        <v>28</v>
      </c>
      <c r="M26" s="94"/>
      <c r="N26" s="94" t="s">
        <v>29</v>
      </c>
      <c r="O26" s="94" t="s">
        <v>29</v>
      </c>
      <c r="P26" s="94" t="s">
        <v>28</v>
      </c>
      <c r="Q26" s="94"/>
      <c r="R26" s="95" t="s">
        <v>29</v>
      </c>
      <c r="S26" s="95" t="s">
        <v>28</v>
      </c>
      <c r="T26" s="95" t="s">
        <v>28</v>
      </c>
      <c r="U26" s="95"/>
      <c r="V26" s="95" t="s">
        <v>28</v>
      </c>
      <c r="W26" s="95" t="s">
        <v>30</v>
      </c>
      <c r="X26" s="95" t="s">
        <v>28</v>
      </c>
      <c r="Y26" s="95"/>
      <c r="Z26" s="95"/>
      <c r="AA26" s="95"/>
      <c r="AB26" s="95"/>
      <c r="AC26" s="95"/>
      <c r="AD26" s="95" t="s">
        <v>28</v>
      </c>
      <c r="AE26" s="95" t="s">
        <v>28</v>
      </c>
      <c r="AF26" s="95"/>
      <c r="AG26" s="95" t="s">
        <v>29</v>
      </c>
      <c r="AH26" s="147"/>
      <c r="AI26" s="56">
        <f t="shared" si="0"/>
        <v>1</v>
      </c>
      <c r="AJ26" s="57">
        <f t="shared" si="1"/>
        <v>7</v>
      </c>
      <c r="AK26" s="57">
        <f t="shared" si="2"/>
        <v>10</v>
      </c>
      <c r="AL26" s="155"/>
      <c r="AM26" s="154" cm="1">
        <f t="array" ref="AM26">SUM(COUNTIF(D26:AH26,{"NL","P","B","T","SN"}))</f>
        <v>0</v>
      </c>
      <c r="AN26" s="58">
        <f t="shared" si="3"/>
        <v>212</v>
      </c>
      <c r="AO26" s="24"/>
    </row>
    <row r="27" spans="1:41" x14ac:dyDescent="0.25">
      <c r="A27" s="197"/>
      <c r="B27" s="17" t="s">
        <v>60</v>
      </c>
      <c r="C27" s="16" t="s">
        <v>61</v>
      </c>
      <c r="D27" s="80" t="s">
        <v>28</v>
      </c>
      <c r="E27" s="79"/>
      <c r="F27" s="79" t="s">
        <v>28</v>
      </c>
      <c r="G27" s="79"/>
      <c r="H27" s="79" t="s">
        <v>29</v>
      </c>
      <c r="I27" s="79"/>
      <c r="J27" s="79"/>
      <c r="K27" s="79"/>
      <c r="L27" s="79"/>
      <c r="M27" s="79" t="s">
        <v>28</v>
      </c>
      <c r="N27" s="79" t="s">
        <v>28</v>
      </c>
      <c r="O27" s="79"/>
      <c r="P27" s="79" t="s">
        <v>28</v>
      </c>
      <c r="Q27" s="79" t="s">
        <v>28</v>
      </c>
      <c r="R27" s="81"/>
      <c r="S27" s="81" t="s">
        <v>28</v>
      </c>
      <c r="T27" s="81"/>
      <c r="U27" s="81" t="s">
        <v>30</v>
      </c>
      <c r="V27" s="81" t="s">
        <v>29</v>
      </c>
      <c r="W27" s="81" t="s">
        <v>28</v>
      </c>
      <c r="X27" s="81"/>
      <c r="Y27" s="81" t="s">
        <v>28</v>
      </c>
      <c r="Z27" s="81" t="s">
        <v>28</v>
      </c>
      <c r="AA27" s="81"/>
      <c r="AB27" s="81" t="s">
        <v>29</v>
      </c>
      <c r="AC27" s="81" t="s">
        <v>29</v>
      </c>
      <c r="AD27" s="81" t="s">
        <v>29</v>
      </c>
      <c r="AE27" s="81"/>
      <c r="AF27" s="81" t="s">
        <v>28</v>
      </c>
      <c r="AG27" s="81" t="s">
        <v>28</v>
      </c>
      <c r="AH27" s="87"/>
      <c r="AI27" s="35">
        <f t="shared" si="0"/>
        <v>1</v>
      </c>
      <c r="AJ27" s="2">
        <f t="shared" si="1"/>
        <v>5</v>
      </c>
      <c r="AK27" s="2">
        <f t="shared" si="2"/>
        <v>12</v>
      </c>
      <c r="AL27" s="155"/>
      <c r="AM27" s="151" cm="1">
        <f t="array" ref="AM27">SUM(COUNTIF(D27:AH27,{"NL","P","B","T","SN"}))</f>
        <v>0</v>
      </c>
      <c r="AN27" s="53">
        <f t="shared" si="3"/>
        <v>212</v>
      </c>
    </row>
    <row r="28" spans="1:41" x14ac:dyDescent="0.25">
      <c r="A28" s="197"/>
      <c r="B28" s="17" t="s">
        <v>62</v>
      </c>
      <c r="C28" s="16" t="s">
        <v>63</v>
      </c>
      <c r="D28" s="80"/>
      <c r="E28" s="79"/>
      <c r="F28" s="79"/>
      <c r="G28" s="79" t="s">
        <v>29</v>
      </c>
      <c r="H28" s="79" t="s">
        <v>28</v>
      </c>
      <c r="I28" s="79" t="s">
        <v>28</v>
      </c>
      <c r="J28" s="79"/>
      <c r="K28" s="79" t="s">
        <v>29</v>
      </c>
      <c r="L28" s="79" t="s">
        <v>29</v>
      </c>
      <c r="M28" s="79" t="s">
        <v>29</v>
      </c>
      <c r="N28" s="79" t="s">
        <v>30</v>
      </c>
      <c r="O28" s="79" t="s">
        <v>28</v>
      </c>
      <c r="P28" s="79"/>
      <c r="Q28" s="79" t="s">
        <v>29</v>
      </c>
      <c r="R28" s="79" t="s">
        <v>28</v>
      </c>
      <c r="S28" s="81"/>
      <c r="T28" s="81" t="s">
        <v>29</v>
      </c>
      <c r="U28" s="81" t="s">
        <v>28</v>
      </c>
      <c r="V28" s="81"/>
      <c r="W28" s="81" t="s">
        <v>29</v>
      </c>
      <c r="X28" s="79" t="s">
        <v>29</v>
      </c>
      <c r="Y28" s="81" t="s">
        <v>29</v>
      </c>
      <c r="Z28" s="81"/>
      <c r="AA28" s="81" t="s">
        <v>29</v>
      </c>
      <c r="AB28" s="81" t="s">
        <v>28</v>
      </c>
      <c r="AC28" s="81"/>
      <c r="AD28" s="81"/>
      <c r="AE28" s="81"/>
      <c r="AF28" s="81"/>
      <c r="AG28" s="81"/>
      <c r="AH28" s="87" t="s">
        <v>28</v>
      </c>
      <c r="AI28" s="35">
        <f t="shared" si="0"/>
        <v>1</v>
      </c>
      <c r="AJ28" s="2">
        <f t="shared" si="1"/>
        <v>10</v>
      </c>
      <c r="AK28" s="2">
        <f t="shared" si="2"/>
        <v>7</v>
      </c>
      <c r="AL28" s="155"/>
      <c r="AM28" s="151" cm="1">
        <f t="array" ref="AM28">SUM(COUNTIF(D28:AH28,{"NL","P","B","T","SN"}))</f>
        <v>0</v>
      </c>
      <c r="AN28" s="53">
        <f t="shared" si="3"/>
        <v>212</v>
      </c>
    </row>
    <row r="29" spans="1:41" ht="15.75" thickBot="1" x14ac:dyDescent="0.3">
      <c r="A29" s="198"/>
      <c r="B29" s="70" t="s">
        <v>64</v>
      </c>
      <c r="C29" s="31" t="s">
        <v>65</v>
      </c>
      <c r="D29" s="90" t="s">
        <v>29</v>
      </c>
      <c r="E29" s="91" t="s">
        <v>28</v>
      </c>
      <c r="F29" s="91"/>
      <c r="G29" s="91" t="s">
        <v>30</v>
      </c>
      <c r="H29" s="91"/>
      <c r="I29" s="91" t="s">
        <v>29</v>
      </c>
      <c r="J29" s="91" t="s">
        <v>29</v>
      </c>
      <c r="K29" s="91" t="s">
        <v>28</v>
      </c>
      <c r="L29" s="91"/>
      <c r="M29" s="91" t="s">
        <v>29</v>
      </c>
      <c r="N29" s="91"/>
      <c r="O29" s="91"/>
      <c r="P29" s="91" t="s">
        <v>29</v>
      </c>
      <c r="Q29" s="91"/>
      <c r="R29" s="91" t="s">
        <v>29</v>
      </c>
      <c r="S29" s="92" t="s">
        <v>29</v>
      </c>
      <c r="T29" s="92"/>
      <c r="U29" s="92" t="s">
        <v>29</v>
      </c>
      <c r="V29" s="92"/>
      <c r="W29" s="92"/>
      <c r="X29" s="91" t="s">
        <v>28</v>
      </c>
      <c r="Y29" s="92"/>
      <c r="Z29" s="92" t="s">
        <v>29</v>
      </c>
      <c r="AA29" s="92" t="s">
        <v>28</v>
      </c>
      <c r="AB29" s="92"/>
      <c r="AC29" s="92" t="s">
        <v>28</v>
      </c>
      <c r="AD29" s="92"/>
      <c r="AE29" s="92" t="s">
        <v>29</v>
      </c>
      <c r="AF29" s="92" t="s">
        <v>29</v>
      </c>
      <c r="AG29" s="92"/>
      <c r="AH29" s="148" t="s">
        <v>29</v>
      </c>
      <c r="AI29" s="39">
        <f t="shared" si="0"/>
        <v>1</v>
      </c>
      <c r="AJ29" s="26">
        <f t="shared" si="1"/>
        <v>12</v>
      </c>
      <c r="AK29" s="26">
        <f t="shared" si="2"/>
        <v>5</v>
      </c>
      <c r="AL29" s="157"/>
      <c r="AM29" s="153" cm="1">
        <f t="array" ref="AM29">SUM(COUNTIF(D29:AH29,{"NL","P","B","T","SN"}))</f>
        <v>0</v>
      </c>
      <c r="AN29" s="54">
        <f t="shared" si="3"/>
        <v>212</v>
      </c>
      <c r="AO29" s="24"/>
    </row>
    <row r="30" spans="1:41" x14ac:dyDescent="0.25">
      <c r="A30" s="199" t="s">
        <v>88</v>
      </c>
      <c r="B30" s="27" t="s">
        <v>90</v>
      </c>
      <c r="C30" s="133" t="s">
        <v>93</v>
      </c>
      <c r="D30" s="76"/>
      <c r="E30" s="77" t="s">
        <v>30</v>
      </c>
      <c r="F30" s="77" t="s">
        <v>30</v>
      </c>
      <c r="G30" s="77" t="s">
        <v>30</v>
      </c>
      <c r="H30" s="120"/>
      <c r="I30" s="77" t="s">
        <v>30</v>
      </c>
      <c r="J30" s="77" t="s">
        <v>29</v>
      </c>
      <c r="K30" s="77"/>
      <c r="L30" s="77" t="s">
        <v>1599</v>
      </c>
      <c r="M30" s="77" t="s">
        <v>1599</v>
      </c>
      <c r="N30" s="77"/>
      <c r="O30" s="77" t="s">
        <v>28</v>
      </c>
      <c r="P30" s="77"/>
      <c r="Q30" s="77" t="s">
        <v>29</v>
      </c>
      <c r="R30" s="78"/>
      <c r="S30" s="78" t="s">
        <v>1599</v>
      </c>
      <c r="T30" s="78"/>
      <c r="U30" s="78" t="s">
        <v>29</v>
      </c>
      <c r="V30" s="78" t="s">
        <v>28</v>
      </c>
      <c r="W30" s="78"/>
      <c r="X30" s="78" t="s">
        <v>29</v>
      </c>
      <c r="Y30" s="78"/>
      <c r="Z30" s="78"/>
      <c r="AA30" s="78" t="s">
        <v>28</v>
      </c>
      <c r="AB30" s="78"/>
      <c r="AC30" s="78" t="s">
        <v>29</v>
      </c>
      <c r="AD30" s="78" t="s">
        <v>28</v>
      </c>
      <c r="AE30" s="78"/>
      <c r="AF30" s="78" t="s">
        <v>1599</v>
      </c>
      <c r="AG30" s="78" t="s">
        <v>1599</v>
      </c>
      <c r="AH30" s="85" t="s">
        <v>28</v>
      </c>
      <c r="AI30" s="40">
        <f t="shared" si="0"/>
        <v>4</v>
      </c>
      <c r="AJ30" s="15">
        <f t="shared" si="1"/>
        <v>5</v>
      </c>
      <c r="AK30" s="15">
        <f t="shared" si="2"/>
        <v>5</v>
      </c>
      <c r="AL30" s="67">
        <f>COUNTIF(D30:AH30,"C9")</f>
        <v>5</v>
      </c>
      <c r="AM30" s="154" cm="1">
        <f t="array" ref="AM30">SUM(COUNTIF(D30:AH30,{"NL","P","B","T","SN"}))</f>
        <v>0</v>
      </c>
      <c r="AN30" s="158">
        <f>AI30*8+AJ30*12+AK30*12+AL30*12+AM30*8</f>
        <v>212</v>
      </c>
    </row>
    <row r="31" spans="1:41" x14ac:dyDescent="0.25">
      <c r="A31" s="199"/>
      <c r="B31" s="63" t="s">
        <v>92</v>
      </c>
      <c r="C31" s="16" t="s">
        <v>94</v>
      </c>
      <c r="D31" s="80"/>
      <c r="E31" s="79" t="s">
        <v>30</v>
      </c>
      <c r="F31" s="79" t="s">
        <v>30</v>
      </c>
      <c r="G31" s="79" t="s">
        <v>30</v>
      </c>
      <c r="H31" s="59"/>
      <c r="I31" s="79" t="s">
        <v>30</v>
      </c>
      <c r="J31" s="79" t="s">
        <v>28</v>
      </c>
      <c r="K31" s="79"/>
      <c r="L31" s="59"/>
      <c r="M31" s="79" t="s">
        <v>29</v>
      </c>
      <c r="N31" s="79" t="s">
        <v>1599</v>
      </c>
      <c r="O31" s="59"/>
      <c r="P31" s="79" t="s">
        <v>1599</v>
      </c>
      <c r="Q31" s="79" t="s">
        <v>28</v>
      </c>
      <c r="R31" s="79" t="s">
        <v>1599</v>
      </c>
      <c r="S31" s="79"/>
      <c r="T31" s="79" t="s">
        <v>29</v>
      </c>
      <c r="U31" s="79" t="s">
        <v>28</v>
      </c>
      <c r="V31" s="79"/>
      <c r="W31" s="79" t="s">
        <v>29</v>
      </c>
      <c r="X31" s="81" t="s">
        <v>28</v>
      </c>
      <c r="Y31" s="81"/>
      <c r="Z31" s="81" t="s">
        <v>1599</v>
      </c>
      <c r="AA31" s="81"/>
      <c r="AB31" s="81" t="s">
        <v>29</v>
      </c>
      <c r="AC31" s="81" t="s">
        <v>28</v>
      </c>
      <c r="AD31" s="81"/>
      <c r="AE31" s="81" t="s">
        <v>29</v>
      </c>
      <c r="AF31" s="81"/>
      <c r="AG31" s="81" t="s">
        <v>1599</v>
      </c>
      <c r="AH31" s="87"/>
      <c r="AI31" s="35">
        <f t="shared" ref="AI31" si="10">COUNTIF(D31:AH31,"HC")</f>
        <v>4</v>
      </c>
      <c r="AJ31" s="2">
        <f t="shared" ref="AJ31" si="11">COUNTIF(D31:AH31,"M")</f>
        <v>5</v>
      </c>
      <c r="AK31" s="2">
        <f t="shared" ref="AK31" si="12">COUNTIF(D31:AH31,"E")</f>
        <v>5</v>
      </c>
      <c r="AL31" s="155">
        <f>COUNTIF(D31:AH31,"C9")</f>
        <v>5</v>
      </c>
      <c r="AM31" s="154" cm="1">
        <f t="array" ref="AM31">SUM(COUNTIF(D31:AH31,{"NL","P","B","T","SN"}))</f>
        <v>0</v>
      </c>
      <c r="AN31" s="159">
        <f t="shared" ref="AN31:AN32" si="13">AI31*8+AJ31*12+AK31*12+AL31*12+AM31*8</f>
        <v>212</v>
      </c>
    </row>
    <row r="32" spans="1:41" ht="15.75" thickBot="1" x14ac:dyDescent="0.3">
      <c r="A32" s="200"/>
      <c r="B32" s="28" t="s">
        <v>91</v>
      </c>
      <c r="C32" s="31" t="s">
        <v>95</v>
      </c>
      <c r="D32" s="90"/>
      <c r="E32" s="91" t="s">
        <v>30</v>
      </c>
      <c r="F32" s="91" t="s">
        <v>30</v>
      </c>
      <c r="G32" s="91" t="s">
        <v>30</v>
      </c>
      <c r="H32" s="165"/>
      <c r="I32" s="91" t="s">
        <v>30</v>
      </c>
      <c r="J32" s="91" t="s">
        <v>1599</v>
      </c>
      <c r="K32" s="91" t="s">
        <v>1599</v>
      </c>
      <c r="L32" s="91"/>
      <c r="M32" s="91" t="s">
        <v>28</v>
      </c>
      <c r="N32" s="91"/>
      <c r="O32" s="91" t="s">
        <v>29</v>
      </c>
      <c r="P32" s="91" t="s">
        <v>1599</v>
      </c>
      <c r="Q32" s="91" t="s">
        <v>1599</v>
      </c>
      <c r="R32" s="91"/>
      <c r="S32" s="92"/>
      <c r="T32" s="92" t="s">
        <v>28</v>
      </c>
      <c r="U32" s="92"/>
      <c r="V32" s="92" t="s">
        <v>29</v>
      </c>
      <c r="W32" s="92" t="s">
        <v>28</v>
      </c>
      <c r="X32" s="91"/>
      <c r="Y32" s="92" t="s">
        <v>1599</v>
      </c>
      <c r="Z32" s="92"/>
      <c r="AA32" s="92" t="s">
        <v>29</v>
      </c>
      <c r="AB32" s="92" t="s">
        <v>28</v>
      </c>
      <c r="AC32" s="92"/>
      <c r="AD32" s="92" t="s">
        <v>29</v>
      </c>
      <c r="AE32" s="92" t="s">
        <v>28</v>
      </c>
      <c r="AF32" s="92"/>
      <c r="AG32" s="92"/>
      <c r="AH32" s="148" t="s">
        <v>29</v>
      </c>
      <c r="AI32" s="36">
        <f t="shared" si="0"/>
        <v>4</v>
      </c>
      <c r="AJ32" s="14">
        <f t="shared" si="1"/>
        <v>5</v>
      </c>
      <c r="AK32" s="14">
        <f t="shared" si="2"/>
        <v>5</v>
      </c>
      <c r="AL32" s="156">
        <f>COUNTIF(D32:AH32,"C9")</f>
        <v>5</v>
      </c>
      <c r="AM32" s="153" cm="1">
        <f t="array" ref="AM32">SUM(COUNTIF(D32:AH32,{"NL","P","B","T","SN"}))</f>
        <v>0</v>
      </c>
      <c r="AN32" s="160">
        <f t="shared" si="13"/>
        <v>212</v>
      </c>
    </row>
    <row r="33" spans="1:40" x14ac:dyDescent="0.25">
      <c r="A33" s="105"/>
      <c r="B33" s="163"/>
      <c r="C33" s="164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2"/>
      <c r="T33" s="162"/>
      <c r="U33" s="162"/>
      <c r="V33" s="162"/>
      <c r="W33" s="162"/>
      <c r="X33" s="161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04"/>
      <c r="AJ33" s="104"/>
      <c r="AK33" s="104"/>
      <c r="AL33" s="104"/>
      <c r="AM33" s="105"/>
      <c r="AN33" s="106"/>
    </row>
    <row r="34" spans="1:40" ht="15.75" thickBot="1" x14ac:dyDescent="0.3">
      <c r="A34" s="100"/>
      <c r="B34" s="101"/>
      <c r="C34" s="102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4"/>
      <c r="AJ34" s="104"/>
      <c r="AK34" s="104"/>
      <c r="AL34" s="104"/>
      <c r="AM34" s="105"/>
      <c r="AN34" s="106"/>
    </row>
    <row r="35" spans="1:40" ht="14.45" customHeight="1" x14ac:dyDescent="0.25">
      <c r="A35" s="177" t="s">
        <v>85</v>
      </c>
      <c r="B35" s="184" t="s">
        <v>25</v>
      </c>
      <c r="C35" s="113" t="s">
        <v>30</v>
      </c>
      <c r="D35" s="107">
        <f t="shared" ref="D35:AH35" si="14">COUNTIF(D12:D16,"HC")</f>
        <v>0</v>
      </c>
      <c r="E35" s="107">
        <f t="shared" si="14"/>
        <v>1</v>
      </c>
      <c r="F35" s="107">
        <f t="shared" si="14"/>
        <v>0</v>
      </c>
      <c r="G35" s="107">
        <f t="shared" si="14"/>
        <v>0</v>
      </c>
      <c r="H35" s="107">
        <f t="shared" si="14"/>
        <v>1</v>
      </c>
      <c r="I35" s="107">
        <f t="shared" si="14"/>
        <v>0</v>
      </c>
      <c r="J35" s="107">
        <f t="shared" si="14"/>
        <v>0</v>
      </c>
      <c r="K35" s="107">
        <f t="shared" si="14"/>
        <v>0</v>
      </c>
      <c r="L35" s="107">
        <f t="shared" si="14"/>
        <v>0</v>
      </c>
      <c r="M35" s="107">
        <f t="shared" si="14"/>
        <v>0</v>
      </c>
      <c r="N35" s="107">
        <f t="shared" si="14"/>
        <v>0</v>
      </c>
      <c r="O35" s="107">
        <f t="shared" si="14"/>
        <v>0</v>
      </c>
      <c r="P35" s="107">
        <f t="shared" si="14"/>
        <v>1</v>
      </c>
      <c r="Q35" s="107">
        <f t="shared" si="14"/>
        <v>0</v>
      </c>
      <c r="R35" s="107">
        <f t="shared" si="14"/>
        <v>0</v>
      </c>
      <c r="S35" s="107">
        <f t="shared" si="14"/>
        <v>1</v>
      </c>
      <c r="T35" s="107">
        <f t="shared" si="14"/>
        <v>0</v>
      </c>
      <c r="U35" s="107">
        <f t="shared" si="14"/>
        <v>0</v>
      </c>
      <c r="V35" s="107">
        <f t="shared" si="14"/>
        <v>0</v>
      </c>
      <c r="W35" s="107">
        <f t="shared" si="14"/>
        <v>1</v>
      </c>
      <c r="X35" s="107">
        <f t="shared" si="14"/>
        <v>0</v>
      </c>
      <c r="Y35" s="107">
        <f t="shared" si="14"/>
        <v>0</v>
      </c>
      <c r="Z35" s="107">
        <f t="shared" si="14"/>
        <v>3</v>
      </c>
      <c r="AA35" s="107">
        <f t="shared" si="14"/>
        <v>0</v>
      </c>
      <c r="AB35" s="107">
        <f t="shared" si="14"/>
        <v>2</v>
      </c>
      <c r="AC35" s="107">
        <f t="shared" si="14"/>
        <v>0</v>
      </c>
      <c r="AD35" s="107">
        <f t="shared" si="14"/>
        <v>0</v>
      </c>
      <c r="AE35" s="107">
        <f t="shared" si="14"/>
        <v>0</v>
      </c>
      <c r="AF35" s="107">
        <f t="shared" si="14"/>
        <v>0</v>
      </c>
      <c r="AG35" s="107">
        <f t="shared" si="14"/>
        <v>3</v>
      </c>
      <c r="AH35" s="108">
        <f t="shared" si="14"/>
        <v>0</v>
      </c>
    </row>
    <row r="36" spans="1:40" ht="14.45" customHeight="1" x14ac:dyDescent="0.25">
      <c r="A36" s="178"/>
      <c r="B36" s="185"/>
      <c r="C36" s="114" t="s">
        <v>29</v>
      </c>
      <c r="D36" s="109">
        <f t="shared" ref="D36:AH36" si="15">COUNTIF(D12:D16,"M")</f>
        <v>1</v>
      </c>
      <c r="E36" s="109">
        <f t="shared" si="15"/>
        <v>1</v>
      </c>
      <c r="F36" s="109">
        <f t="shared" si="15"/>
        <v>2</v>
      </c>
      <c r="G36" s="109">
        <f t="shared" si="15"/>
        <v>1</v>
      </c>
      <c r="H36" s="109">
        <f t="shared" si="15"/>
        <v>2</v>
      </c>
      <c r="I36" s="109">
        <f t="shared" si="15"/>
        <v>2</v>
      </c>
      <c r="J36" s="109">
        <f t="shared" si="15"/>
        <v>1</v>
      </c>
      <c r="K36" s="109">
        <f t="shared" si="15"/>
        <v>1</v>
      </c>
      <c r="L36" s="109">
        <f t="shared" si="15"/>
        <v>1</v>
      </c>
      <c r="M36" s="109">
        <f t="shared" si="15"/>
        <v>1</v>
      </c>
      <c r="N36" s="109">
        <f t="shared" si="15"/>
        <v>2</v>
      </c>
      <c r="O36" s="109">
        <f t="shared" si="15"/>
        <v>1</v>
      </c>
      <c r="P36" s="109">
        <f t="shared" si="15"/>
        <v>1</v>
      </c>
      <c r="Q36" s="109">
        <f t="shared" si="15"/>
        <v>1</v>
      </c>
      <c r="R36" s="109">
        <f t="shared" si="15"/>
        <v>1</v>
      </c>
      <c r="S36" s="109">
        <f t="shared" si="15"/>
        <v>1</v>
      </c>
      <c r="T36" s="109">
        <f t="shared" si="15"/>
        <v>2</v>
      </c>
      <c r="U36" s="109">
        <f t="shared" si="15"/>
        <v>2</v>
      </c>
      <c r="V36" s="109">
        <f t="shared" si="15"/>
        <v>1</v>
      </c>
      <c r="W36" s="109">
        <f t="shared" si="15"/>
        <v>1</v>
      </c>
      <c r="X36" s="109">
        <f t="shared" si="15"/>
        <v>1</v>
      </c>
      <c r="Y36" s="109">
        <f t="shared" si="15"/>
        <v>1</v>
      </c>
      <c r="Z36" s="109">
        <f t="shared" si="15"/>
        <v>1</v>
      </c>
      <c r="AA36" s="109">
        <f t="shared" si="15"/>
        <v>2</v>
      </c>
      <c r="AB36" s="109">
        <f t="shared" si="15"/>
        <v>1</v>
      </c>
      <c r="AC36" s="109">
        <f t="shared" si="15"/>
        <v>1</v>
      </c>
      <c r="AD36" s="109">
        <f t="shared" si="15"/>
        <v>2</v>
      </c>
      <c r="AE36" s="109">
        <f t="shared" si="15"/>
        <v>1</v>
      </c>
      <c r="AF36" s="109">
        <f t="shared" si="15"/>
        <v>1</v>
      </c>
      <c r="AG36" s="109">
        <f t="shared" si="15"/>
        <v>1</v>
      </c>
      <c r="AH36" s="110">
        <f t="shared" si="15"/>
        <v>2</v>
      </c>
    </row>
    <row r="37" spans="1:40" ht="15" customHeight="1" thickBot="1" x14ac:dyDescent="0.3">
      <c r="A37" s="178"/>
      <c r="B37" s="186"/>
      <c r="C37" s="115" t="s">
        <v>28</v>
      </c>
      <c r="D37" s="111">
        <f t="shared" ref="D37:AH37" si="16">COUNTIF(D12:D16,"E")</f>
        <v>1</v>
      </c>
      <c r="E37" s="111">
        <f t="shared" si="16"/>
        <v>1</v>
      </c>
      <c r="F37" s="111">
        <f t="shared" si="16"/>
        <v>1</v>
      </c>
      <c r="G37" s="111">
        <f t="shared" si="16"/>
        <v>1</v>
      </c>
      <c r="H37" s="111">
        <f t="shared" si="16"/>
        <v>1</v>
      </c>
      <c r="I37" s="111">
        <f t="shared" si="16"/>
        <v>1</v>
      </c>
      <c r="J37" s="111">
        <f t="shared" si="16"/>
        <v>1</v>
      </c>
      <c r="K37" s="111">
        <f t="shared" si="16"/>
        <v>1</v>
      </c>
      <c r="L37" s="111">
        <f t="shared" si="16"/>
        <v>1</v>
      </c>
      <c r="M37" s="111">
        <f t="shared" si="16"/>
        <v>1</v>
      </c>
      <c r="N37" s="111">
        <f t="shared" si="16"/>
        <v>1</v>
      </c>
      <c r="O37" s="111">
        <f t="shared" si="16"/>
        <v>1</v>
      </c>
      <c r="P37" s="111">
        <f t="shared" si="16"/>
        <v>1</v>
      </c>
      <c r="Q37" s="111">
        <f t="shared" si="16"/>
        <v>1</v>
      </c>
      <c r="R37" s="111">
        <f t="shared" si="16"/>
        <v>1</v>
      </c>
      <c r="S37" s="111">
        <f t="shared" si="16"/>
        <v>1</v>
      </c>
      <c r="T37" s="111">
        <f t="shared" si="16"/>
        <v>1</v>
      </c>
      <c r="U37" s="111">
        <f t="shared" si="16"/>
        <v>1</v>
      </c>
      <c r="V37" s="111">
        <f t="shared" si="16"/>
        <v>1</v>
      </c>
      <c r="W37" s="111">
        <f t="shared" si="16"/>
        <v>1</v>
      </c>
      <c r="X37" s="111">
        <f t="shared" si="16"/>
        <v>1</v>
      </c>
      <c r="Y37" s="111">
        <f t="shared" si="16"/>
        <v>1</v>
      </c>
      <c r="Z37" s="111">
        <f t="shared" si="16"/>
        <v>1</v>
      </c>
      <c r="AA37" s="111">
        <f t="shared" si="16"/>
        <v>1</v>
      </c>
      <c r="AB37" s="111">
        <f t="shared" si="16"/>
        <v>1</v>
      </c>
      <c r="AC37" s="111">
        <f t="shared" si="16"/>
        <v>1</v>
      </c>
      <c r="AD37" s="111">
        <f t="shared" si="16"/>
        <v>1</v>
      </c>
      <c r="AE37" s="111">
        <f t="shared" si="16"/>
        <v>1</v>
      </c>
      <c r="AF37" s="111">
        <f t="shared" si="16"/>
        <v>1</v>
      </c>
      <c r="AG37" s="111">
        <f t="shared" si="16"/>
        <v>1</v>
      </c>
      <c r="AH37" s="112">
        <f t="shared" si="16"/>
        <v>1</v>
      </c>
    </row>
    <row r="38" spans="1:40" ht="14.45" customHeight="1" x14ac:dyDescent="0.25">
      <c r="A38" s="178"/>
      <c r="B38" s="184" t="s">
        <v>39</v>
      </c>
      <c r="C38" s="113" t="s">
        <v>30</v>
      </c>
      <c r="D38" s="107">
        <f t="shared" ref="D38:AH38" si="17">COUNTIF(D17:D21,"HC")</f>
        <v>0</v>
      </c>
      <c r="E38" s="107">
        <f t="shared" si="17"/>
        <v>0</v>
      </c>
      <c r="F38" s="107">
        <f t="shared" si="17"/>
        <v>0</v>
      </c>
      <c r="G38" s="107">
        <f t="shared" si="17"/>
        <v>0</v>
      </c>
      <c r="H38" s="107">
        <f t="shared" si="17"/>
        <v>0</v>
      </c>
      <c r="I38" s="107">
        <f t="shared" si="17"/>
        <v>0</v>
      </c>
      <c r="J38" s="107">
        <f t="shared" si="17"/>
        <v>0</v>
      </c>
      <c r="K38" s="107">
        <f t="shared" si="17"/>
        <v>0</v>
      </c>
      <c r="L38" s="107">
        <f t="shared" si="17"/>
        <v>0</v>
      </c>
      <c r="M38" s="107">
        <f t="shared" si="17"/>
        <v>0</v>
      </c>
      <c r="N38" s="107">
        <f t="shared" si="17"/>
        <v>0</v>
      </c>
      <c r="O38" s="107">
        <f t="shared" si="17"/>
        <v>0</v>
      </c>
      <c r="P38" s="107">
        <f t="shared" si="17"/>
        <v>0</v>
      </c>
      <c r="Q38" s="107">
        <f t="shared" si="17"/>
        <v>0</v>
      </c>
      <c r="R38" s="107">
        <f t="shared" si="17"/>
        <v>0</v>
      </c>
      <c r="S38" s="107">
        <f t="shared" si="17"/>
        <v>0</v>
      </c>
      <c r="T38" s="107">
        <f t="shared" si="17"/>
        <v>0</v>
      </c>
      <c r="U38" s="107">
        <f t="shared" si="17"/>
        <v>0</v>
      </c>
      <c r="V38" s="107">
        <f t="shared" si="17"/>
        <v>0</v>
      </c>
      <c r="W38" s="107">
        <f t="shared" si="17"/>
        <v>0</v>
      </c>
      <c r="X38" s="107">
        <f t="shared" si="17"/>
        <v>0</v>
      </c>
      <c r="Y38" s="107">
        <f t="shared" si="17"/>
        <v>0</v>
      </c>
      <c r="Z38" s="107">
        <f t="shared" si="17"/>
        <v>0</v>
      </c>
      <c r="AA38" s="107">
        <f t="shared" si="17"/>
        <v>0</v>
      </c>
      <c r="AB38" s="107">
        <f t="shared" si="17"/>
        <v>0</v>
      </c>
      <c r="AC38" s="107">
        <f t="shared" si="17"/>
        <v>0</v>
      </c>
      <c r="AD38" s="107">
        <f t="shared" si="17"/>
        <v>0</v>
      </c>
      <c r="AE38" s="107">
        <f t="shared" si="17"/>
        <v>0</v>
      </c>
      <c r="AF38" s="107">
        <f t="shared" si="17"/>
        <v>0</v>
      </c>
      <c r="AG38" s="107">
        <f t="shared" si="17"/>
        <v>0</v>
      </c>
      <c r="AH38" s="108">
        <f t="shared" si="17"/>
        <v>0</v>
      </c>
    </row>
    <row r="39" spans="1:40" ht="14.45" customHeight="1" x14ac:dyDescent="0.25">
      <c r="A39" s="178"/>
      <c r="B39" s="185"/>
      <c r="C39" s="114" t="s">
        <v>29</v>
      </c>
      <c r="D39" s="109">
        <f t="shared" ref="D39:AH39" si="18">COUNTIF(D17:D21,"M")</f>
        <v>1</v>
      </c>
      <c r="E39" s="109">
        <f t="shared" si="18"/>
        <v>1</v>
      </c>
      <c r="F39" s="109">
        <f t="shared" si="18"/>
        <v>2</v>
      </c>
      <c r="G39" s="109">
        <f t="shared" si="18"/>
        <v>1</v>
      </c>
      <c r="H39" s="109">
        <f t="shared" si="18"/>
        <v>1</v>
      </c>
      <c r="I39" s="109">
        <f t="shared" si="18"/>
        <v>2</v>
      </c>
      <c r="J39" s="109">
        <f t="shared" si="18"/>
        <v>1</v>
      </c>
      <c r="K39" s="109">
        <f t="shared" si="18"/>
        <v>1</v>
      </c>
      <c r="L39" s="109">
        <f t="shared" si="18"/>
        <v>2</v>
      </c>
      <c r="M39" s="109">
        <f t="shared" si="18"/>
        <v>1</v>
      </c>
      <c r="N39" s="109">
        <f t="shared" si="18"/>
        <v>1</v>
      </c>
      <c r="O39" s="109">
        <f t="shared" si="18"/>
        <v>1</v>
      </c>
      <c r="P39" s="109">
        <f t="shared" si="18"/>
        <v>1</v>
      </c>
      <c r="Q39" s="109">
        <f t="shared" si="18"/>
        <v>1</v>
      </c>
      <c r="R39" s="109">
        <f t="shared" si="18"/>
        <v>1</v>
      </c>
      <c r="S39" s="109">
        <f t="shared" si="18"/>
        <v>1</v>
      </c>
      <c r="T39" s="109">
        <f t="shared" si="18"/>
        <v>1</v>
      </c>
      <c r="U39" s="109">
        <f t="shared" si="18"/>
        <v>1</v>
      </c>
      <c r="V39" s="109">
        <f t="shared" si="18"/>
        <v>2</v>
      </c>
      <c r="W39" s="109">
        <f t="shared" si="18"/>
        <v>1</v>
      </c>
      <c r="X39" s="109">
        <f t="shared" si="18"/>
        <v>1</v>
      </c>
      <c r="Y39" s="109">
        <f t="shared" si="18"/>
        <v>1</v>
      </c>
      <c r="Z39" s="109">
        <f t="shared" si="18"/>
        <v>1</v>
      </c>
      <c r="AA39" s="109">
        <f t="shared" si="18"/>
        <v>1</v>
      </c>
      <c r="AB39" s="109">
        <f t="shared" si="18"/>
        <v>1</v>
      </c>
      <c r="AC39" s="109">
        <f t="shared" si="18"/>
        <v>1</v>
      </c>
      <c r="AD39" s="109">
        <f t="shared" si="18"/>
        <v>1</v>
      </c>
      <c r="AE39" s="109">
        <f t="shared" si="18"/>
        <v>1</v>
      </c>
      <c r="AF39" s="109">
        <f t="shared" si="18"/>
        <v>1</v>
      </c>
      <c r="AG39" s="109">
        <f t="shared" si="18"/>
        <v>1</v>
      </c>
      <c r="AH39" s="110">
        <f t="shared" si="18"/>
        <v>1</v>
      </c>
    </row>
    <row r="40" spans="1:40" ht="15" customHeight="1" thickBot="1" x14ac:dyDescent="0.3">
      <c r="A40" s="178"/>
      <c r="B40" s="186"/>
      <c r="C40" s="115" t="s">
        <v>28</v>
      </c>
      <c r="D40" s="111">
        <f t="shared" ref="D40:AH40" si="19">COUNTIF(D17:D21,"E")</f>
        <v>1</v>
      </c>
      <c r="E40" s="111">
        <f t="shared" si="19"/>
        <v>2</v>
      </c>
      <c r="F40" s="111">
        <f t="shared" si="19"/>
        <v>1</v>
      </c>
      <c r="G40" s="111">
        <f t="shared" si="19"/>
        <v>1</v>
      </c>
      <c r="H40" s="111">
        <f t="shared" si="19"/>
        <v>1</v>
      </c>
      <c r="I40" s="111">
        <f t="shared" si="19"/>
        <v>1</v>
      </c>
      <c r="J40" s="111">
        <f t="shared" si="19"/>
        <v>1</v>
      </c>
      <c r="K40" s="111">
        <f t="shared" si="19"/>
        <v>1</v>
      </c>
      <c r="L40" s="111">
        <f t="shared" si="19"/>
        <v>1</v>
      </c>
      <c r="M40" s="111">
        <f t="shared" si="19"/>
        <v>2</v>
      </c>
      <c r="N40" s="111">
        <f t="shared" si="19"/>
        <v>1</v>
      </c>
      <c r="O40" s="111">
        <f t="shared" si="19"/>
        <v>1</v>
      </c>
      <c r="P40" s="111">
        <f t="shared" si="19"/>
        <v>1</v>
      </c>
      <c r="Q40" s="111">
        <f t="shared" si="19"/>
        <v>1</v>
      </c>
      <c r="R40" s="111">
        <f t="shared" si="19"/>
        <v>1</v>
      </c>
      <c r="S40" s="111">
        <f t="shared" si="19"/>
        <v>1</v>
      </c>
      <c r="T40" s="111">
        <f t="shared" si="19"/>
        <v>2</v>
      </c>
      <c r="U40" s="111">
        <f t="shared" si="19"/>
        <v>1</v>
      </c>
      <c r="V40" s="111">
        <f t="shared" si="19"/>
        <v>1</v>
      </c>
      <c r="W40" s="111">
        <f t="shared" si="19"/>
        <v>1</v>
      </c>
      <c r="X40" s="111">
        <f t="shared" si="19"/>
        <v>1</v>
      </c>
      <c r="Y40" s="111">
        <f t="shared" si="19"/>
        <v>1</v>
      </c>
      <c r="Z40" s="111">
        <f t="shared" si="19"/>
        <v>1</v>
      </c>
      <c r="AA40" s="111">
        <f t="shared" si="19"/>
        <v>1</v>
      </c>
      <c r="AB40" s="111">
        <f t="shared" si="19"/>
        <v>1</v>
      </c>
      <c r="AC40" s="111">
        <f t="shared" si="19"/>
        <v>1</v>
      </c>
      <c r="AD40" s="111">
        <f t="shared" si="19"/>
        <v>1</v>
      </c>
      <c r="AE40" s="111">
        <f t="shared" si="19"/>
        <v>1</v>
      </c>
      <c r="AF40" s="111">
        <f t="shared" si="19"/>
        <v>1</v>
      </c>
      <c r="AG40" s="111">
        <f t="shared" si="19"/>
        <v>2</v>
      </c>
      <c r="AH40" s="112">
        <f t="shared" si="19"/>
        <v>1</v>
      </c>
    </row>
    <row r="41" spans="1:40" ht="14.45" customHeight="1" x14ac:dyDescent="0.25">
      <c r="A41" s="178"/>
      <c r="B41" s="184" t="s">
        <v>84</v>
      </c>
      <c r="C41" s="113" t="s">
        <v>30</v>
      </c>
      <c r="D41" s="116">
        <f t="shared" ref="D41:AH41" si="20">COUNTIF(D22:D25,"HC")</f>
        <v>0</v>
      </c>
      <c r="E41" s="107">
        <f t="shared" si="20"/>
        <v>4</v>
      </c>
      <c r="F41" s="107">
        <f t="shared" si="20"/>
        <v>4</v>
      </c>
      <c r="G41" s="107">
        <f t="shared" si="20"/>
        <v>4</v>
      </c>
      <c r="H41" s="107">
        <f t="shared" si="20"/>
        <v>4</v>
      </c>
      <c r="I41" s="107">
        <f t="shared" si="20"/>
        <v>4</v>
      </c>
      <c r="J41" s="107">
        <f t="shared" si="20"/>
        <v>0</v>
      </c>
      <c r="K41" s="107">
        <f t="shared" si="20"/>
        <v>0</v>
      </c>
      <c r="L41" s="107">
        <f t="shared" si="20"/>
        <v>0</v>
      </c>
      <c r="M41" s="107">
        <f t="shared" si="20"/>
        <v>0</v>
      </c>
      <c r="N41" s="107">
        <f t="shared" si="20"/>
        <v>0</v>
      </c>
      <c r="O41" s="107">
        <f t="shared" si="20"/>
        <v>0</v>
      </c>
      <c r="P41" s="107">
        <f t="shared" si="20"/>
        <v>0</v>
      </c>
      <c r="Q41" s="107">
        <f t="shared" si="20"/>
        <v>0</v>
      </c>
      <c r="R41" s="107">
        <f t="shared" si="20"/>
        <v>0</v>
      </c>
      <c r="S41" s="107">
        <f t="shared" si="20"/>
        <v>0</v>
      </c>
      <c r="T41" s="107">
        <f t="shared" si="20"/>
        <v>0</v>
      </c>
      <c r="U41" s="107">
        <f t="shared" si="20"/>
        <v>0</v>
      </c>
      <c r="V41" s="107">
        <f t="shared" si="20"/>
        <v>0</v>
      </c>
      <c r="W41" s="107">
        <f t="shared" si="20"/>
        <v>0</v>
      </c>
      <c r="X41" s="107">
        <f t="shared" si="20"/>
        <v>0</v>
      </c>
      <c r="Y41" s="107">
        <f t="shared" si="20"/>
        <v>0</v>
      </c>
      <c r="Z41" s="107">
        <f t="shared" si="20"/>
        <v>0</v>
      </c>
      <c r="AA41" s="107">
        <f t="shared" si="20"/>
        <v>0</v>
      </c>
      <c r="AB41" s="107">
        <f t="shared" si="20"/>
        <v>0</v>
      </c>
      <c r="AC41" s="107">
        <f t="shared" si="20"/>
        <v>0</v>
      </c>
      <c r="AD41" s="107">
        <f t="shared" si="20"/>
        <v>0</v>
      </c>
      <c r="AE41" s="107">
        <f t="shared" si="20"/>
        <v>0</v>
      </c>
      <c r="AF41" s="107">
        <f t="shared" si="20"/>
        <v>0</v>
      </c>
      <c r="AG41" s="107">
        <f t="shared" si="20"/>
        <v>0</v>
      </c>
      <c r="AH41" s="108">
        <f t="shared" si="20"/>
        <v>0</v>
      </c>
    </row>
    <row r="42" spans="1:40" ht="14.45" customHeight="1" x14ac:dyDescent="0.25">
      <c r="A42" s="178"/>
      <c r="B42" s="185"/>
      <c r="C42" s="114" t="s">
        <v>29</v>
      </c>
      <c r="D42" s="117">
        <f t="shared" ref="D42:AH42" si="21">COUNTIF(D22:D25,"M")</f>
        <v>0</v>
      </c>
      <c r="E42" s="109">
        <f t="shared" si="21"/>
        <v>0</v>
      </c>
      <c r="F42" s="109">
        <f t="shared" si="21"/>
        <v>0</v>
      </c>
      <c r="G42" s="109">
        <f t="shared" si="21"/>
        <v>0</v>
      </c>
      <c r="H42" s="109">
        <f t="shared" si="21"/>
        <v>0</v>
      </c>
      <c r="I42" s="109">
        <f t="shared" si="21"/>
        <v>0</v>
      </c>
      <c r="J42" s="109">
        <f t="shared" si="21"/>
        <v>1</v>
      </c>
      <c r="K42" s="109">
        <f t="shared" si="21"/>
        <v>1</v>
      </c>
      <c r="L42" s="109">
        <f t="shared" si="21"/>
        <v>1</v>
      </c>
      <c r="M42" s="109">
        <f t="shared" si="21"/>
        <v>1</v>
      </c>
      <c r="N42" s="109">
        <f t="shared" si="21"/>
        <v>1</v>
      </c>
      <c r="O42" s="109">
        <f t="shared" si="21"/>
        <v>2</v>
      </c>
      <c r="P42" s="109">
        <f t="shared" si="21"/>
        <v>1</v>
      </c>
      <c r="Q42" s="109">
        <f t="shared" si="21"/>
        <v>1</v>
      </c>
      <c r="R42" s="109">
        <f t="shared" si="21"/>
        <v>2</v>
      </c>
      <c r="S42" s="109">
        <f t="shared" si="21"/>
        <v>1</v>
      </c>
      <c r="T42" s="109">
        <f t="shared" si="21"/>
        <v>1</v>
      </c>
      <c r="U42" s="109">
        <f t="shared" si="21"/>
        <v>2</v>
      </c>
      <c r="V42" s="109">
        <f t="shared" si="21"/>
        <v>1</v>
      </c>
      <c r="W42" s="109">
        <f t="shared" si="21"/>
        <v>1</v>
      </c>
      <c r="X42" s="109">
        <f t="shared" si="21"/>
        <v>2</v>
      </c>
      <c r="Y42" s="109">
        <f t="shared" si="21"/>
        <v>1</v>
      </c>
      <c r="Z42" s="109">
        <f t="shared" si="21"/>
        <v>2</v>
      </c>
      <c r="AA42" s="109">
        <f t="shared" si="21"/>
        <v>1</v>
      </c>
      <c r="AB42" s="109">
        <f t="shared" si="21"/>
        <v>2</v>
      </c>
      <c r="AC42" s="109">
        <f t="shared" si="21"/>
        <v>1</v>
      </c>
      <c r="AD42" s="109">
        <f t="shared" si="21"/>
        <v>1</v>
      </c>
      <c r="AE42" s="109">
        <f t="shared" si="21"/>
        <v>1</v>
      </c>
      <c r="AF42" s="109">
        <f t="shared" si="21"/>
        <v>1</v>
      </c>
      <c r="AG42" s="109">
        <f t="shared" si="21"/>
        <v>1</v>
      </c>
      <c r="AH42" s="110">
        <f t="shared" si="21"/>
        <v>1</v>
      </c>
    </row>
    <row r="43" spans="1:40" ht="15" customHeight="1" thickBot="1" x14ac:dyDescent="0.3">
      <c r="A43" s="178"/>
      <c r="B43" s="186"/>
      <c r="C43" s="115" t="s">
        <v>28</v>
      </c>
      <c r="D43" s="118">
        <f t="shared" ref="D43:AH43" si="22">COUNTIF(D22:D25,"E")</f>
        <v>0</v>
      </c>
      <c r="E43" s="111">
        <f t="shared" si="22"/>
        <v>0</v>
      </c>
      <c r="F43" s="111">
        <f t="shared" si="22"/>
        <v>0</v>
      </c>
      <c r="G43" s="111">
        <f t="shared" si="22"/>
        <v>0</v>
      </c>
      <c r="H43" s="111">
        <f t="shared" si="22"/>
        <v>0</v>
      </c>
      <c r="I43" s="111">
        <f t="shared" si="22"/>
        <v>0</v>
      </c>
      <c r="J43" s="111">
        <f t="shared" si="22"/>
        <v>1</v>
      </c>
      <c r="K43" s="111">
        <f t="shared" si="22"/>
        <v>1</v>
      </c>
      <c r="L43" s="111">
        <f t="shared" si="22"/>
        <v>1</v>
      </c>
      <c r="M43" s="111">
        <f t="shared" si="22"/>
        <v>1</v>
      </c>
      <c r="N43" s="111">
        <f t="shared" si="22"/>
        <v>1</v>
      </c>
      <c r="O43" s="111">
        <f t="shared" si="22"/>
        <v>1</v>
      </c>
      <c r="P43" s="111">
        <f t="shared" si="22"/>
        <v>1</v>
      </c>
      <c r="Q43" s="111">
        <f t="shared" si="22"/>
        <v>1</v>
      </c>
      <c r="R43" s="111">
        <f t="shared" si="22"/>
        <v>1</v>
      </c>
      <c r="S43" s="111">
        <f t="shared" si="22"/>
        <v>1</v>
      </c>
      <c r="T43" s="111">
        <f t="shared" si="22"/>
        <v>1</v>
      </c>
      <c r="U43" s="111">
        <f t="shared" si="22"/>
        <v>1</v>
      </c>
      <c r="V43" s="111">
        <f t="shared" si="22"/>
        <v>1</v>
      </c>
      <c r="W43" s="111">
        <f t="shared" si="22"/>
        <v>1</v>
      </c>
      <c r="X43" s="111">
        <f t="shared" si="22"/>
        <v>1</v>
      </c>
      <c r="Y43" s="111">
        <f t="shared" si="22"/>
        <v>1</v>
      </c>
      <c r="Z43" s="111">
        <f t="shared" si="22"/>
        <v>1</v>
      </c>
      <c r="AA43" s="111">
        <f t="shared" si="22"/>
        <v>1</v>
      </c>
      <c r="AB43" s="111">
        <f t="shared" si="22"/>
        <v>1</v>
      </c>
      <c r="AC43" s="111">
        <f t="shared" si="22"/>
        <v>1</v>
      </c>
      <c r="AD43" s="111">
        <f t="shared" si="22"/>
        <v>1</v>
      </c>
      <c r="AE43" s="111">
        <f t="shared" si="22"/>
        <v>1</v>
      </c>
      <c r="AF43" s="111">
        <f t="shared" si="22"/>
        <v>1</v>
      </c>
      <c r="AG43" s="111">
        <f t="shared" si="22"/>
        <v>1</v>
      </c>
      <c r="AH43" s="112">
        <f t="shared" si="22"/>
        <v>1</v>
      </c>
    </row>
    <row r="44" spans="1:40" ht="14.45" customHeight="1" x14ac:dyDescent="0.25">
      <c r="A44" s="178"/>
      <c r="B44" s="187" t="s">
        <v>57</v>
      </c>
      <c r="C44" s="113" t="s">
        <v>30</v>
      </c>
      <c r="D44" s="116">
        <f>COUNTIF(D26:D29,"HC")</f>
        <v>0</v>
      </c>
      <c r="E44" s="107">
        <f t="shared" ref="E44:AH44" si="23">COUNTIF(E26:E29,"HC")</f>
        <v>0</v>
      </c>
      <c r="F44" s="107">
        <f t="shared" si="23"/>
        <v>0</v>
      </c>
      <c r="G44" s="107">
        <f t="shared" si="23"/>
        <v>1</v>
      </c>
      <c r="H44" s="107">
        <f t="shared" si="23"/>
        <v>0</v>
      </c>
      <c r="I44" s="107">
        <f t="shared" si="23"/>
        <v>0</v>
      </c>
      <c r="J44" s="107">
        <f t="shared" si="23"/>
        <v>0</v>
      </c>
      <c r="K44" s="107">
        <f t="shared" si="23"/>
        <v>0</v>
      </c>
      <c r="L44" s="107">
        <f t="shared" si="23"/>
        <v>0</v>
      </c>
      <c r="M44" s="107">
        <f t="shared" si="23"/>
        <v>0</v>
      </c>
      <c r="N44" s="107">
        <f t="shared" si="23"/>
        <v>1</v>
      </c>
      <c r="O44" s="107">
        <f t="shared" si="23"/>
        <v>0</v>
      </c>
      <c r="P44" s="107">
        <f t="shared" si="23"/>
        <v>0</v>
      </c>
      <c r="Q44" s="107">
        <f t="shared" si="23"/>
        <v>0</v>
      </c>
      <c r="R44" s="107">
        <f t="shared" si="23"/>
        <v>0</v>
      </c>
      <c r="S44" s="107">
        <f t="shared" si="23"/>
        <v>0</v>
      </c>
      <c r="T44" s="107">
        <f t="shared" si="23"/>
        <v>0</v>
      </c>
      <c r="U44" s="107">
        <f t="shared" si="23"/>
        <v>1</v>
      </c>
      <c r="V44" s="107">
        <f t="shared" si="23"/>
        <v>0</v>
      </c>
      <c r="W44" s="107">
        <f t="shared" si="23"/>
        <v>1</v>
      </c>
      <c r="X44" s="107">
        <f t="shared" si="23"/>
        <v>0</v>
      </c>
      <c r="Y44" s="107">
        <f t="shared" si="23"/>
        <v>0</v>
      </c>
      <c r="Z44" s="107">
        <f t="shared" si="23"/>
        <v>0</v>
      </c>
      <c r="AA44" s="107">
        <f t="shared" si="23"/>
        <v>0</v>
      </c>
      <c r="AB44" s="107">
        <f t="shared" si="23"/>
        <v>0</v>
      </c>
      <c r="AC44" s="107">
        <f t="shared" si="23"/>
        <v>0</v>
      </c>
      <c r="AD44" s="107">
        <f t="shared" si="23"/>
        <v>0</v>
      </c>
      <c r="AE44" s="107">
        <f t="shared" si="23"/>
        <v>0</v>
      </c>
      <c r="AF44" s="107">
        <f t="shared" si="23"/>
        <v>0</v>
      </c>
      <c r="AG44" s="107">
        <f t="shared" si="23"/>
        <v>0</v>
      </c>
      <c r="AH44" s="108">
        <f t="shared" si="23"/>
        <v>0</v>
      </c>
    </row>
    <row r="45" spans="1:40" ht="14.45" customHeight="1" x14ac:dyDescent="0.25">
      <c r="A45" s="178"/>
      <c r="B45" s="188"/>
      <c r="C45" s="114" t="s">
        <v>29</v>
      </c>
      <c r="D45" s="117">
        <f>COUNTIF(D26:D29,"M")</f>
        <v>1</v>
      </c>
      <c r="E45" s="109">
        <f t="shared" ref="E45:AH45" si="24">COUNTIF(E26:E29,"M")</f>
        <v>1</v>
      </c>
      <c r="F45" s="109">
        <f t="shared" si="24"/>
        <v>1</v>
      </c>
      <c r="G45" s="109">
        <f t="shared" si="24"/>
        <v>1</v>
      </c>
      <c r="H45" s="109">
        <f t="shared" si="24"/>
        <v>1</v>
      </c>
      <c r="I45" s="109">
        <f t="shared" si="24"/>
        <v>2</v>
      </c>
      <c r="J45" s="109">
        <f t="shared" si="24"/>
        <v>1</v>
      </c>
      <c r="K45" s="109">
        <f t="shared" si="24"/>
        <v>1</v>
      </c>
      <c r="L45" s="109">
        <f t="shared" si="24"/>
        <v>1</v>
      </c>
      <c r="M45" s="109">
        <f t="shared" si="24"/>
        <v>2</v>
      </c>
      <c r="N45" s="109">
        <f t="shared" si="24"/>
        <v>1</v>
      </c>
      <c r="O45" s="109">
        <f t="shared" si="24"/>
        <v>1</v>
      </c>
      <c r="P45" s="109">
        <f t="shared" si="24"/>
        <v>1</v>
      </c>
      <c r="Q45" s="109">
        <f t="shared" si="24"/>
        <v>1</v>
      </c>
      <c r="R45" s="109">
        <f t="shared" si="24"/>
        <v>2</v>
      </c>
      <c r="S45" s="109">
        <f t="shared" si="24"/>
        <v>1</v>
      </c>
      <c r="T45" s="109">
        <f t="shared" si="24"/>
        <v>1</v>
      </c>
      <c r="U45" s="109">
        <f t="shared" si="24"/>
        <v>1</v>
      </c>
      <c r="V45" s="109">
        <f t="shared" si="24"/>
        <v>1</v>
      </c>
      <c r="W45" s="109">
        <f t="shared" si="24"/>
        <v>1</v>
      </c>
      <c r="X45" s="109">
        <f t="shared" si="24"/>
        <v>1</v>
      </c>
      <c r="Y45" s="109">
        <f t="shared" si="24"/>
        <v>1</v>
      </c>
      <c r="Z45" s="109">
        <f t="shared" si="24"/>
        <v>1</v>
      </c>
      <c r="AA45" s="109">
        <f t="shared" si="24"/>
        <v>1</v>
      </c>
      <c r="AB45" s="109">
        <f t="shared" si="24"/>
        <v>1</v>
      </c>
      <c r="AC45" s="109">
        <f t="shared" si="24"/>
        <v>1</v>
      </c>
      <c r="AD45" s="109">
        <f t="shared" si="24"/>
        <v>1</v>
      </c>
      <c r="AE45" s="109">
        <f t="shared" si="24"/>
        <v>1</v>
      </c>
      <c r="AF45" s="109">
        <f t="shared" si="24"/>
        <v>1</v>
      </c>
      <c r="AG45" s="109">
        <f t="shared" si="24"/>
        <v>1</v>
      </c>
      <c r="AH45" s="110">
        <f t="shared" si="24"/>
        <v>1</v>
      </c>
    </row>
    <row r="46" spans="1:40" ht="15" customHeight="1" thickBot="1" x14ac:dyDescent="0.3">
      <c r="A46" s="178"/>
      <c r="B46" s="189"/>
      <c r="C46" s="115" t="s">
        <v>28</v>
      </c>
      <c r="D46" s="117">
        <f>COUNTIF(D26:D29,"E")</f>
        <v>1</v>
      </c>
      <c r="E46" s="109">
        <f t="shared" ref="E46:AH46" si="25">COUNTIF(E26:E29,"E")</f>
        <v>1</v>
      </c>
      <c r="F46" s="109">
        <f t="shared" si="25"/>
        <v>1</v>
      </c>
      <c r="G46" s="109">
        <f t="shared" si="25"/>
        <v>1</v>
      </c>
      <c r="H46" s="109">
        <f t="shared" si="25"/>
        <v>1</v>
      </c>
      <c r="I46" s="109">
        <f t="shared" si="25"/>
        <v>1</v>
      </c>
      <c r="J46" s="109">
        <f t="shared" si="25"/>
        <v>1</v>
      </c>
      <c r="K46" s="109">
        <f t="shared" si="25"/>
        <v>1</v>
      </c>
      <c r="L46" s="109">
        <f t="shared" si="25"/>
        <v>1</v>
      </c>
      <c r="M46" s="109">
        <f t="shared" si="25"/>
        <v>1</v>
      </c>
      <c r="N46" s="109">
        <f t="shared" si="25"/>
        <v>1</v>
      </c>
      <c r="O46" s="109">
        <f t="shared" si="25"/>
        <v>1</v>
      </c>
      <c r="P46" s="109">
        <f t="shared" si="25"/>
        <v>2</v>
      </c>
      <c r="Q46" s="109">
        <f t="shared" si="25"/>
        <v>1</v>
      </c>
      <c r="R46" s="109">
        <f t="shared" si="25"/>
        <v>1</v>
      </c>
      <c r="S46" s="109">
        <f t="shared" si="25"/>
        <v>2</v>
      </c>
      <c r="T46" s="109">
        <f t="shared" si="25"/>
        <v>1</v>
      </c>
      <c r="U46" s="109">
        <f t="shared" si="25"/>
        <v>1</v>
      </c>
      <c r="V46" s="109">
        <f t="shared" si="25"/>
        <v>1</v>
      </c>
      <c r="W46" s="109">
        <f t="shared" si="25"/>
        <v>1</v>
      </c>
      <c r="X46" s="109">
        <f t="shared" si="25"/>
        <v>2</v>
      </c>
      <c r="Y46" s="109">
        <f t="shared" si="25"/>
        <v>1</v>
      </c>
      <c r="Z46" s="109">
        <f t="shared" si="25"/>
        <v>1</v>
      </c>
      <c r="AA46" s="109">
        <f t="shared" si="25"/>
        <v>1</v>
      </c>
      <c r="AB46" s="109">
        <f t="shared" si="25"/>
        <v>1</v>
      </c>
      <c r="AC46" s="109">
        <f t="shared" si="25"/>
        <v>1</v>
      </c>
      <c r="AD46" s="109">
        <f t="shared" si="25"/>
        <v>1</v>
      </c>
      <c r="AE46" s="109">
        <f t="shared" si="25"/>
        <v>1</v>
      </c>
      <c r="AF46" s="109">
        <f t="shared" si="25"/>
        <v>1</v>
      </c>
      <c r="AG46" s="109">
        <f t="shared" si="25"/>
        <v>1</v>
      </c>
      <c r="AH46" s="110">
        <f t="shared" si="25"/>
        <v>1</v>
      </c>
    </row>
    <row r="47" spans="1:40" ht="14.45" customHeight="1" x14ac:dyDescent="0.25">
      <c r="A47" s="178"/>
      <c r="B47" s="193" t="s">
        <v>88</v>
      </c>
      <c r="C47" s="135" t="s">
        <v>1600</v>
      </c>
      <c r="D47" s="116">
        <f>COUNTIF(D30:D32,"HC")+COUNTIF(D30:D32,"C9")</f>
        <v>0</v>
      </c>
      <c r="E47" s="107">
        <f t="shared" ref="E47:AH47" si="26">COUNTIF(E30:E32,"HC")+COUNTIF(E30:E32,"C9")</f>
        <v>3</v>
      </c>
      <c r="F47" s="107">
        <f t="shared" si="26"/>
        <v>3</v>
      </c>
      <c r="G47" s="107">
        <f t="shared" si="26"/>
        <v>3</v>
      </c>
      <c r="H47" s="107">
        <f t="shared" si="26"/>
        <v>0</v>
      </c>
      <c r="I47" s="107">
        <f t="shared" si="26"/>
        <v>3</v>
      </c>
      <c r="J47" s="107">
        <f t="shared" si="26"/>
        <v>1</v>
      </c>
      <c r="K47" s="107">
        <f t="shared" si="26"/>
        <v>1</v>
      </c>
      <c r="L47" s="107">
        <f t="shared" si="26"/>
        <v>1</v>
      </c>
      <c r="M47" s="107">
        <f t="shared" si="26"/>
        <v>1</v>
      </c>
      <c r="N47" s="107">
        <f t="shared" si="26"/>
        <v>1</v>
      </c>
      <c r="O47" s="107">
        <f t="shared" si="26"/>
        <v>0</v>
      </c>
      <c r="P47" s="107">
        <f t="shared" si="26"/>
        <v>2</v>
      </c>
      <c r="Q47" s="107">
        <f t="shared" si="26"/>
        <v>1</v>
      </c>
      <c r="R47" s="107">
        <f t="shared" si="26"/>
        <v>1</v>
      </c>
      <c r="S47" s="107">
        <f t="shared" si="26"/>
        <v>1</v>
      </c>
      <c r="T47" s="107">
        <f t="shared" si="26"/>
        <v>0</v>
      </c>
      <c r="U47" s="107">
        <f t="shared" si="26"/>
        <v>0</v>
      </c>
      <c r="V47" s="107">
        <f t="shared" si="26"/>
        <v>0</v>
      </c>
      <c r="W47" s="107">
        <f t="shared" si="26"/>
        <v>0</v>
      </c>
      <c r="X47" s="107">
        <f t="shared" si="26"/>
        <v>0</v>
      </c>
      <c r="Y47" s="107">
        <f t="shared" si="26"/>
        <v>1</v>
      </c>
      <c r="Z47" s="107">
        <f t="shared" si="26"/>
        <v>1</v>
      </c>
      <c r="AA47" s="107">
        <f t="shared" si="26"/>
        <v>0</v>
      </c>
      <c r="AB47" s="107">
        <f t="shared" si="26"/>
        <v>0</v>
      </c>
      <c r="AC47" s="107">
        <f t="shared" si="26"/>
        <v>0</v>
      </c>
      <c r="AD47" s="107">
        <f t="shared" si="26"/>
        <v>0</v>
      </c>
      <c r="AE47" s="107">
        <f t="shared" si="26"/>
        <v>0</v>
      </c>
      <c r="AF47" s="107">
        <f t="shared" si="26"/>
        <v>1</v>
      </c>
      <c r="AG47" s="107">
        <f t="shared" si="26"/>
        <v>2</v>
      </c>
      <c r="AH47" s="108">
        <f t="shared" si="26"/>
        <v>0</v>
      </c>
    </row>
    <row r="48" spans="1:40" ht="14.45" customHeight="1" x14ac:dyDescent="0.25">
      <c r="A48" s="178"/>
      <c r="B48" s="194"/>
      <c r="C48" s="129" t="s">
        <v>29</v>
      </c>
      <c r="D48" s="117">
        <f>COUNTIF(D30:D32,"M")</f>
        <v>0</v>
      </c>
      <c r="E48" s="109">
        <f t="shared" ref="E48:AH48" si="27">COUNTIF(E30:E32,"M")</f>
        <v>0</v>
      </c>
      <c r="F48" s="109">
        <f t="shared" si="27"/>
        <v>0</v>
      </c>
      <c r="G48" s="109">
        <f t="shared" si="27"/>
        <v>0</v>
      </c>
      <c r="H48" s="109">
        <f t="shared" si="27"/>
        <v>0</v>
      </c>
      <c r="I48" s="109">
        <f t="shared" si="27"/>
        <v>0</v>
      </c>
      <c r="J48" s="109">
        <f t="shared" si="27"/>
        <v>1</v>
      </c>
      <c r="K48" s="109">
        <f t="shared" si="27"/>
        <v>0</v>
      </c>
      <c r="L48" s="109">
        <f t="shared" si="27"/>
        <v>0</v>
      </c>
      <c r="M48" s="109">
        <f t="shared" si="27"/>
        <v>1</v>
      </c>
      <c r="N48" s="109">
        <f t="shared" si="27"/>
        <v>0</v>
      </c>
      <c r="O48" s="109">
        <f t="shared" si="27"/>
        <v>1</v>
      </c>
      <c r="P48" s="109">
        <f t="shared" si="27"/>
        <v>0</v>
      </c>
      <c r="Q48" s="109">
        <f t="shared" si="27"/>
        <v>1</v>
      </c>
      <c r="R48" s="109">
        <f t="shared" si="27"/>
        <v>0</v>
      </c>
      <c r="S48" s="109">
        <f t="shared" si="27"/>
        <v>0</v>
      </c>
      <c r="T48" s="109">
        <f t="shared" si="27"/>
        <v>1</v>
      </c>
      <c r="U48" s="109">
        <f t="shared" si="27"/>
        <v>1</v>
      </c>
      <c r="V48" s="109">
        <f t="shared" si="27"/>
        <v>1</v>
      </c>
      <c r="W48" s="109">
        <f t="shared" si="27"/>
        <v>1</v>
      </c>
      <c r="X48" s="109">
        <f t="shared" si="27"/>
        <v>1</v>
      </c>
      <c r="Y48" s="109">
        <f t="shared" si="27"/>
        <v>0</v>
      </c>
      <c r="Z48" s="109">
        <f t="shared" si="27"/>
        <v>0</v>
      </c>
      <c r="AA48" s="109">
        <f t="shared" si="27"/>
        <v>1</v>
      </c>
      <c r="AB48" s="109">
        <f t="shared" si="27"/>
        <v>1</v>
      </c>
      <c r="AC48" s="109">
        <f t="shared" si="27"/>
        <v>1</v>
      </c>
      <c r="AD48" s="109">
        <f t="shared" si="27"/>
        <v>1</v>
      </c>
      <c r="AE48" s="109">
        <f t="shared" si="27"/>
        <v>1</v>
      </c>
      <c r="AF48" s="109">
        <f t="shared" si="27"/>
        <v>0</v>
      </c>
      <c r="AG48" s="109">
        <f t="shared" si="27"/>
        <v>0</v>
      </c>
      <c r="AH48" s="110">
        <f t="shared" si="27"/>
        <v>1</v>
      </c>
    </row>
    <row r="49" spans="1:42" ht="15" customHeight="1" thickBot="1" x14ac:dyDescent="0.3">
      <c r="A49" s="179"/>
      <c r="B49" s="195"/>
      <c r="C49" s="130" t="s">
        <v>28</v>
      </c>
      <c r="D49" s="118">
        <f>COUNTIF(D30:D32,"E")</f>
        <v>0</v>
      </c>
      <c r="E49" s="111">
        <f t="shared" ref="E49:AH49" si="28">COUNTIF(E30:E32,"E")</f>
        <v>0</v>
      </c>
      <c r="F49" s="111">
        <f t="shared" si="28"/>
        <v>0</v>
      </c>
      <c r="G49" s="111">
        <f t="shared" si="28"/>
        <v>0</v>
      </c>
      <c r="H49" s="111">
        <f t="shared" si="28"/>
        <v>0</v>
      </c>
      <c r="I49" s="111">
        <f t="shared" si="28"/>
        <v>0</v>
      </c>
      <c r="J49" s="111">
        <f t="shared" si="28"/>
        <v>1</v>
      </c>
      <c r="K49" s="111">
        <f t="shared" si="28"/>
        <v>0</v>
      </c>
      <c r="L49" s="111">
        <f t="shared" si="28"/>
        <v>0</v>
      </c>
      <c r="M49" s="111">
        <f t="shared" si="28"/>
        <v>1</v>
      </c>
      <c r="N49" s="111">
        <f t="shared" si="28"/>
        <v>0</v>
      </c>
      <c r="O49" s="111">
        <f t="shared" si="28"/>
        <v>1</v>
      </c>
      <c r="P49" s="111">
        <f t="shared" si="28"/>
        <v>0</v>
      </c>
      <c r="Q49" s="111">
        <f t="shared" si="28"/>
        <v>1</v>
      </c>
      <c r="R49" s="111">
        <f t="shared" si="28"/>
        <v>0</v>
      </c>
      <c r="S49" s="111">
        <f t="shared" si="28"/>
        <v>0</v>
      </c>
      <c r="T49" s="111">
        <f t="shared" si="28"/>
        <v>1</v>
      </c>
      <c r="U49" s="111">
        <f t="shared" si="28"/>
        <v>1</v>
      </c>
      <c r="V49" s="111">
        <f t="shared" si="28"/>
        <v>1</v>
      </c>
      <c r="W49" s="111">
        <f t="shared" si="28"/>
        <v>1</v>
      </c>
      <c r="X49" s="111">
        <f t="shared" si="28"/>
        <v>1</v>
      </c>
      <c r="Y49" s="111">
        <f t="shared" si="28"/>
        <v>0</v>
      </c>
      <c r="Z49" s="111">
        <f t="shared" si="28"/>
        <v>0</v>
      </c>
      <c r="AA49" s="111">
        <f t="shared" si="28"/>
        <v>1</v>
      </c>
      <c r="AB49" s="111">
        <f t="shared" si="28"/>
        <v>1</v>
      </c>
      <c r="AC49" s="111">
        <f t="shared" si="28"/>
        <v>1</v>
      </c>
      <c r="AD49" s="111">
        <f t="shared" si="28"/>
        <v>1</v>
      </c>
      <c r="AE49" s="111">
        <f t="shared" si="28"/>
        <v>1</v>
      </c>
      <c r="AF49" s="111">
        <f t="shared" si="28"/>
        <v>0</v>
      </c>
      <c r="AG49" s="111">
        <f t="shared" si="28"/>
        <v>0</v>
      </c>
      <c r="AH49" s="112">
        <f t="shared" si="28"/>
        <v>1</v>
      </c>
    </row>
    <row r="50" spans="1:42" ht="15" customHeight="1" x14ac:dyDescent="0.25">
      <c r="A50" s="128"/>
      <c r="B50" s="129"/>
      <c r="C50" s="12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</row>
    <row r="51" spans="1:42" ht="15" customHeight="1" thickBot="1" x14ac:dyDescent="0.3">
      <c r="A51" s="128"/>
      <c r="B51" s="129"/>
      <c r="C51" s="12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</row>
    <row r="52" spans="1:42" ht="15" customHeight="1" x14ac:dyDescent="0.25">
      <c r="A52" s="128"/>
      <c r="B52" s="190" t="s">
        <v>86</v>
      </c>
      <c r="C52" s="135" t="s">
        <v>30</v>
      </c>
      <c r="D52" s="116">
        <f>SUM(D35+D38+D41)</f>
        <v>0</v>
      </c>
      <c r="E52" s="107">
        <f t="shared" ref="E52:AH52" si="29">SUM(E35+E38+E41)</f>
        <v>5</v>
      </c>
      <c r="F52" s="107">
        <f t="shared" si="29"/>
        <v>4</v>
      </c>
      <c r="G52" s="107">
        <f t="shared" si="29"/>
        <v>4</v>
      </c>
      <c r="H52" s="107">
        <f t="shared" si="29"/>
        <v>5</v>
      </c>
      <c r="I52" s="107">
        <f t="shared" si="29"/>
        <v>4</v>
      </c>
      <c r="J52" s="107">
        <f t="shared" si="29"/>
        <v>0</v>
      </c>
      <c r="K52" s="107">
        <f t="shared" si="29"/>
        <v>0</v>
      </c>
      <c r="L52" s="107">
        <f t="shared" si="29"/>
        <v>0</v>
      </c>
      <c r="M52" s="107">
        <f t="shared" si="29"/>
        <v>0</v>
      </c>
      <c r="N52" s="107">
        <f t="shared" si="29"/>
        <v>0</v>
      </c>
      <c r="O52" s="107">
        <f t="shared" si="29"/>
        <v>0</v>
      </c>
      <c r="P52" s="107">
        <f t="shared" si="29"/>
        <v>1</v>
      </c>
      <c r="Q52" s="107">
        <f t="shared" si="29"/>
        <v>0</v>
      </c>
      <c r="R52" s="107">
        <f t="shared" si="29"/>
        <v>0</v>
      </c>
      <c r="S52" s="107">
        <f t="shared" si="29"/>
        <v>1</v>
      </c>
      <c r="T52" s="107">
        <f t="shared" si="29"/>
        <v>0</v>
      </c>
      <c r="U52" s="107">
        <f t="shared" si="29"/>
        <v>0</v>
      </c>
      <c r="V52" s="107">
        <f t="shared" si="29"/>
        <v>0</v>
      </c>
      <c r="W52" s="107">
        <f t="shared" si="29"/>
        <v>1</v>
      </c>
      <c r="X52" s="107">
        <f t="shared" si="29"/>
        <v>0</v>
      </c>
      <c r="Y52" s="107">
        <f t="shared" si="29"/>
        <v>0</v>
      </c>
      <c r="Z52" s="107">
        <f t="shared" si="29"/>
        <v>3</v>
      </c>
      <c r="AA52" s="107">
        <f t="shared" si="29"/>
        <v>0</v>
      </c>
      <c r="AB52" s="107">
        <f t="shared" si="29"/>
        <v>2</v>
      </c>
      <c r="AC52" s="107">
        <f t="shared" si="29"/>
        <v>0</v>
      </c>
      <c r="AD52" s="107">
        <f t="shared" si="29"/>
        <v>0</v>
      </c>
      <c r="AE52" s="107">
        <f t="shared" si="29"/>
        <v>0</v>
      </c>
      <c r="AF52" s="107">
        <f t="shared" si="29"/>
        <v>0</v>
      </c>
      <c r="AG52" s="107">
        <f t="shared" si="29"/>
        <v>3</v>
      </c>
      <c r="AH52" s="108">
        <f t="shared" si="29"/>
        <v>0</v>
      </c>
    </row>
    <row r="53" spans="1:42" ht="15" customHeight="1" x14ac:dyDescent="0.25">
      <c r="A53" s="128"/>
      <c r="B53" s="191"/>
      <c r="C53" s="129" t="s">
        <v>29</v>
      </c>
      <c r="D53" s="117">
        <f>SUM(D36+D39+D42)</f>
        <v>2</v>
      </c>
      <c r="E53" s="109">
        <f t="shared" ref="E53:AH53" si="30">SUM(E36+E39+E42)</f>
        <v>2</v>
      </c>
      <c r="F53" s="109">
        <f t="shared" si="30"/>
        <v>4</v>
      </c>
      <c r="G53" s="109">
        <f t="shared" si="30"/>
        <v>2</v>
      </c>
      <c r="H53" s="109">
        <f t="shared" si="30"/>
        <v>3</v>
      </c>
      <c r="I53" s="109">
        <f t="shared" si="30"/>
        <v>4</v>
      </c>
      <c r="J53" s="109">
        <f t="shared" si="30"/>
        <v>3</v>
      </c>
      <c r="K53" s="109">
        <f t="shared" si="30"/>
        <v>3</v>
      </c>
      <c r="L53" s="109">
        <f t="shared" si="30"/>
        <v>4</v>
      </c>
      <c r="M53" s="109">
        <f t="shared" si="30"/>
        <v>3</v>
      </c>
      <c r="N53" s="109">
        <f t="shared" si="30"/>
        <v>4</v>
      </c>
      <c r="O53" s="109">
        <f t="shared" si="30"/>
        <v>4</v>
      </c>
      <c r="P53" s="109">
        <f t="shared" si="30"/>
        <v>3</v>
      </c>
      <c r="Q53" s="109">
        <f t="shared" si="30"/>
        <v>3</v>
      </c>
      <c r="R53" s="109">
        <f t="shared" si="30"/>
        <v>4</v>
      </c>
      <c r="S53" s="109">
        <f t="shared" si="30"/>
        <v>3</v>
      </c>
      <c r="T53" s="109">
        <f t="shared" si="30"/>
        <v>4</v>
      </c>
      <c r="U53" s="109">
        <f t="shared" si="30"/>
        <v>5</v>
      </c>
      <c r="V53" s="109">
        <f t="shared" si="30"/>
        <v>4</v>
      </c>
      <c r="W53" s="109">
        <f t="shared" si="30"/>
        <v>3</v>
      </c>
      <c r="X53" s="109">
        <f t="shared" si="30"/>
        <v>4</v>
      </c>
      <c r="Y53" s="109">
        <f t="shared" si="30"/>
        <v>3</v>
      </c>
      <c r="Z53" s="109">
        <f t="shared" si="30"/>
        <v>4</v>
      </c>
      <c r="AA53" s="109">
        <f t="shared" si="30"/>
        <v>4</v>
      </c>
      <c r="AB53" s="109">
        <f t="shared" si="30"/>
        <v>4</v>
      </c>
      <c r="AC53" s="109">
        <f t="shared" si="30"/>
        <v>3</v>
      </c>
      <c r="AD53" s="109">
        <f t="shared" si="30"/>
        <v>4</v>
      </c>
      <c r="AE53" s="109">
        <f t="shared" si="30"/>
        <v>3</v>
      </c>
      <c r="AF53" s="109">
        <f t="shared" si="30"/>
        <v>3</v>
      </c>
      <c r="AG53" s="109">
        <f t="shared" si="30"/>
        <v>3</v>
      </c>
      <c r="AH53" s="110">
        <f t="shared" si="30"/>
        <v>4</v>
      </c>
    </row>
    <row r="54" spans="1:42" ht="15.75" thickBot="1" x14ac:dyDescent="0.3">
      <c r="B54" s="192"/>
      <c r="C54" s="130" t="s">
        <v>28</v>
      </c>
      <c r="D54" s="118">
        <f>SUM(D37+D40+D43)</f>
        <v>2</v>
      </c>
      <c r="E54" s="111">
        <f t="shared" ref="E54:AH54" si="31">SUM(E37+E40+E43)</f>
        <v>3</v>
      </c>
      <c r="F54" s="111">
        <f t="shared" si="31"/>
        <v>2</v>
      </c>
      <c r="G54" s="111">
        <f t="shared" si="31"/>
        <v>2</v>
      </c>
      <c r="H54" s="111">
        <f t="shared" si="31"/>
        <v>2</v>
      </c>
      <c r="I54" s="111">
        <f t="shared" si="31"/>
        <v>2</v>
      </c>
      <c r="J54" s="111">
        <f t="shared" si="31"/>
        <v>3</v>
      </c>
      <c r="K54" s="111">
        <f t="shared" si="31"/>
        <v>3</v>
      </c>
      <c r="L54" s="111">
        <f t="shared" si="31"/>
        <v>3</v>
      </c>
      <c r="M54" s="111">
        <f t="shared" si="31"/>
        <v>4</v>
      </c>
      <c r="N54" s="111">
        <f t="shared" si="31"/>
        <v>3</v>
      </c>
      <c r="O54" s="111">
        <f t="shared" si="31"/>
        <v>3</v>
      </c>
      <c r="P54" s="111">
        <f t="shared" si="31"/>
        <v>3</v>
      </c>
      <c r="Q54" s="111">
        <f t="shared" si="31"/>
        <v>3</v>
      </c>
      <c r="R54" s="111">
        <f t="shared" si="31"/>
        <v>3</v>
      </c>
      <c r="S54" s="111">
        <f t="shared" si="31"/>
        <v>3</v>
      </c>
      <c r="T54" s="111">
        <f t="shared" si="31"/>
        <v>4</v>
      </c>
      <c r="U54" s="111">
        <f t="shared" si="31"/>
        <v>3</v>
      </c>
      <c r="V54" s="111">
        <f t="shared" si="31"/>
        <v>3</v>
      </c>
      <c r="W54" s="111">
        <f t="shared" si="31"/>
        <v>3</v>
      </c>
      <c r="X54" s="111">
        <f t="shared" si="31"/>
        <v>3</v>
      </c>
      <c r="Y54" s="111">
        <f t="shared" si="31"/>
        <v>3</v>
      </c>
      <c r="Z54" s="111">
        <f t="shared" si="31"/>
        <v>3</v>
      </c>
      <c r="AA54" s="111">
        <f t="shared" si="31"/>
        <v>3</v>
      </c>
      <c r="AB54" s="111">
        <f t="shared" si="31"/>
        <v>3</v>
      </c>
      <c r="AC54" s="111">
        <f t="shared" si="31"/>
        <v>3</v>
      </c>
      <c r="AD54" s="111">
        <f t="shared" si="31"/>
        <v>3</v>
      </c>
      <c r="AE54" s="111">
        <f t="shared" si="31"/>
        <v>3</v>
      </c>
      <c r="AF54" s="111">
        <f t="shared" si="31"/>
        <v>3</v>
      </c>
      <c r="AG54" s="111">
        <f t="shared" si="31"/>
        <v>4</v>
      </c>
      <c r="AH54" s="112">
        <f t="shared" si="31"/>
        <v>3</v>
      </c>
      <c r="AO54" s="32"/>
      <c r="AP54" s="33"/>
    </row>
    <row r="55" spans="1:42" x14ac:dyDescent="0.25">
      <c r="B55" s="129"/>
      <c r="C55" s="12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O55" s="32"/>
      <c r="AP55" s="33"/>
    </row>
    <row r="56" spans="1:42" ht="15.75" thickBot="1" x14ac:dyDescent="0.3">
      <c r="A56" s="4" t="s">
        <v>66</v>
      </c>
      <c r="C56" s="22"/>
    </row>
    <row r="57" spans="1:42" ht="14.1" customHeight="1" x14ac:dyDescent="0.25">
      <c r="A57" s="41" t="s">
        <v>67</v>
      </c>
      <c r="B57" s="42" t="s">
        <v>68</v>
      </c>
      <c r="C57" s="43" t="s">
        <v>69</v>
      </c>
    </row>
    <row r="58" spans="1:42" x14ac:dyDescent="0.25">
      <c r="A58" s="44" t="s">
        <v>70</v>
      </c>
      <c r="B58" s="34" t="s">
        <v>71</v>
      </c>
      <c r="C58" s="45" t="s">
        <v>72</v>
      </c>
    </row>
    <row r="59" spans="1:42" ht="15.75" thickBot="1" x14ac:dyDescent="0.3">
      <c r="A59" s="46" t="s">
        <v>73</v>
      </c>
      <c r="B59" s="47" t="s">
        <v>74</v>
      </c>
      <c r="C59" s="48" t="s">
        <v>75</v>
      </c>
    </row>
    <row r="60" spans="1:42" x14ac:dyDescent="0.25">
      <c r="A60" s="21"/>
      <c r="B60" s="1"/>
    </row>
    <row r="61" spans="1:42" x14ac:dyDescent="0.25">
      <c r="A61" s="29"/>
      <c r="B61" s="1" t="s">
        <v>76</v>
      </c>
      <c r="AA61" s="183" t="s">
        <v>87</v>
      </c>
      <c r="AB61" s="183"/>
      <c r="AC61" s="183"/>
      <c r="AD61" s="183"/>
      <c r="AE61" s="183"/>
      <c r="AF61" s="183"/>
      <c r="AG61" s="183"/>
      <c r="AH61" s="183"/>
      <c r="AI61" s="183"/>
    </row>
    <row r="62" spans="1:42" x14ac:dyDescent="0.25">
      <c r="A62" s="71"/>
      <c r="B62" s="1" t="s">
        <v>77</v>
      </c>
      <c r="AA62" s="23"/>
      <c r="AB62" s="23"/>
      <c r="AC62" s="23"/>
      <c r="AD62" s="23"/>
      <c r="AE62" s="23"/>
      <c r="AF62" s="23"/>
      <c r="AG62" s="23"/>
      <c r="AH62" s="23"/>
      <c r="AI62" s="23"/>
    </row>
    <row r="63" spans="1:42" x14ac:dyDescent="0.25">
      <c r="A63" s="21"/>
      <c r="B63" s="1"/>
      <c r="AA63" s="23"/>
      <c r="AB63" s="23"/>
      <c r="AC63" s="23"/>
      <c r="AD63" s="23"/>
      <c r="AE63" s="23"/>
      <c r="AF63" s="23"/>
      <c r="AG63" s="23"/>
      <c r="AH63" s="23"/>
      <c r="AI63" s="23"/>
    </row>
    <row r="64" spans="1:42" x14ac:dyDescent="0.25">
      <c r="B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25">
      <c r="A65" s="1"/>
      <c r="B65" s="1"/>
      <c r="S65" s="3"/>
      <c r="T65" s="206" t="s">
        <v>78</v>
      </c>
      <c r="U65" s="206"/>
      <c r="V65" s="206"/>
      <c r="W65" s="206"/>
      <c r="X65" s="3"/>
      <c r="AA65" s="1"/>
      <c r="AB65" s="1"/>
      <c r="AC65" s="1"/>
      <c r="AD65" s="206" t="s">
        <v>79</v>
      </c>
      <c r="AE65" s="206"/>
      <c r="AF65" s="206"/>
      <c r="AG65" s="206"/>
      <c r="AH65" s="1"/>
      <c r="AI65" s="1"/>
    </row>
    <row r="66" spans="1:35" x14ac:dyDescent="0.25">
      <c r="S66" s="206" t="s">
        <v>80</v>
      </c>
      <c r="T66" s="206"/>
      <c r="U66" s="206"/>
      <c r="V66" s="206"/>
      <c r="W66" s="206"/>
      <c r="X66" s="206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25">
      <c r="S67" s="207"/>
      <c r="T67" s="207"/>
      <c r="U67" s="207"/>
      <c r="V67" s="207"/>
      <c r="W67" s="207"/>
      <c r="X67" s="207"/>
      <c r="Y67" s="207"/>
      <c r="AA67" s="1"/>
      <c r="AB67" s="1"/>
      <c r="AC67" s="206" t="s">
        <v>81</v>
      </c>
      <c r="AD67" s="206"/>
      <c r="AE67" s="206"/>
      <c r="AF67" s="206"/>
      <c r="AG67" s="206"/>
      <c r="AH67" s="206"/>
      <c r="AI67" s="1"/>
    </row>
    <row r="68" spans="1:35" x14ac:dyDescent="0.25">
      <c r="S68" s="207"/>
      <c r="T68" s="207"/>
      <c r="U68" s="207"/>
      <c r="V68" s="207"/>
      <c r="W68" s="207"/>
      <c r="X68" s="207"/>
      <c r="Y68" s="207"/>
      <c r="AA68" s="1"/>
      <c r="AB68" s="1"/>
      <c r="AC68" s="206"/>
      <c r="AD68" s="206"/>
      <c r="AE68" s="206"/>
      <c r="AF68" s="206"/>
      <c r="AG68" s="206"/>
      <c r="AH68" s="206"/>
      <c r="AI68" s="1"/>
    </row>
    <row r="69" spans="1:35" x14ac:dyDescent="0.25">
      <c r="S69" s="207"/>
      <c r="T69" s="207"/>
      <c r="U69" s="207"/>
      <c r="V69" s="207"/>
      <c r="W69" s="207"/>
      <c r="X69" s="207"/>
      <c r="Y69" s="207"/>
      <c r="AA69" s="1"/>
      <c r="AB69" s="1"/>
      <c r="AC69" s="206"/>
      <c r="AD69" s="206"/>
      <c r="AE69" s="206"/>
      <c r="AF69" s="206"/>
      <c r="AG69" s="206"/>
      <c r="AH69" s="206"/>
      <c r="AI69" s="1"/>
    </row>
    <row r="70" spans="1:35" x14ac:dyDescent="0.25">
      <c r="S70" s="207"/>
      <c r="T70" s="207"/>
      <c r="U70" s="207"/>
      <c r="V70" s="207"/>
      <c r="W70" s="207"/>
      <c r="X70" s="207"/>
      <c r="Y70" s="207"/>
      <c r="AA70" s="1"/>
      <c r="AB70" s="1"/>
      <c r="AC70" s="206"/>
      <c r="AD70" s="206"/>
      <c r="AE70" s="206"/>
      <c r="AF70" s="206"/>
      <c r="AG70" s="206"/>
      <c r="AH70" s="206"/>
      <c r="AI70" s="1"/>
    </row>
    <row r="71" spans="1:35" x14ac:dyDescent="0.25">
      <c r="S71" s="207"/>
      <c r="T71" s="207"/>
      <c r="U71" s="207"/>
      <c r="V71" s="207"/>
      <c r="W71" s="207"/>
      <c r="X71" s="207"/>
      <c r="Y71" s="207"/>
      <c r="AA71" s="1"/>
      <c r="AB71" s="1"/>
      <c r="AC71" s="206"/>
      <c r="AD71" s="206"/>
      <c r="AE71" s="206"/>
      <c r="AF71" s="206"/>
      <c r="AG71" s="206"/>
      <c r="AH71" s="206"/>
      <c r="AI71" s="1"/>
    </row>
    <row r="72" spans="1:35" x14ac:dyDescent="0.25">
      <c r="S72" s="207"/>
      <c r="T72" s="207"/>
      <c r="U72" s="207"/>
      <c r="V72" s="207"/>
      <c r="W72" s="207"/>
      <c r="X72" s="207"/>
      <c r="Y72" s="207"/>
      <c r="AA72" s="1"/>
      <c r="AB72" s="1"/>
      <c r="AC72" s="206"/>
      <c r="AD72" s="206"/>
      <c r="AE72" s="206"/>
      <c r="AF72" s="206"/>
      <c r="AG72" s="206"/>
      <c r="AH72" s="206"/>
      <c r="AI72" s="1"/>
    </row>
  </sheetData>
  <sheetProtection algorithmName="SHA-512" hashValue="of/GgESlidypZD1ifco+Jo1vQtz940h+nBWZNFGi4jk4FVPjdDAbTfL8Te/Zxbkqh68uMBfOcG7waIrOU/lAyw==" saltValue="lWgQzttWqpyJKps4BjqmgA==" spinCount="100000" sheet="1" objects="1" scenarios="1"/>
  <mergeCells count="24">
    <mergeCell ref="A1:A5"/>
    <mergeCell ref="B10:B11"/>
    <mergeCell ref="C10:C11"/>
    <mergeCell ref="A10:A11"/>
    <mergeCell ref="B1:AH5"/>
    <mergeCell ref="AC67:AH72"/>
    <mergeCell ref="T65:W65"/>
    <mergeCell ref="S66:X66"/>
    <mergeCell ref="AD65:AG65"/>
    <mergeCell ref="S67:Y72"/>
    <mergeCell ref="A35:A49"/>
    <mergeCell ref="AI10:AL10"/>
    <mergeCell ref="AA61:AI61"/>
    <mergeCell ref="B35:B37"/>
    <mergeCell ref="B38:B40"/>
    <mergeCell ref="B41:B43"/>
    <mergeCell ref="B44:B46"/>
    <mergeCell ref="B52:B54"/>
    <mergeCell ref="B47:B49"/>
    <mergeCell ref="A26:A29"/>
    <mergeCell ref="A30:A32"/>
    <mergeCell ref="A22:A25"/>
    <mergeCell ref="A12:A16"/>
    <mergeCell ref="A17:A21"/>
  </mergeCells>
  <phoneticPr fontId="19" type="noConversion"/>
  <conditionalFormatting sqref="D35:AH51">
    <cfRule type="cellIs" dxfId="2" priority="1" operator="greaterThan">
      <formula>2</formula>
    </cfRule>
  </conditionalFormatting>
  <conditionalFormatting sqref="D52:AH55">
    <cfRule type="cellIs" dxfId="1" priority="2" operator="greaterThan">
      <formula>4</formula>
    </cfRule>
  </conditionalFormatting>
  <pageMargins left="0.7" right="0.7" top="0.75" bottom="0.75" header="0.3" footer="0.3"/>
  <pageSetup orientation="portrait" r:id="rId1"/>
  <ignoredErrors>
    <ignoredError sqref="B12:B16 B20:B32 B17:B19" numberStoredAsText="1"/>
    <ignoredError sqref="AN30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C65E-C216-47E4-A06F-071A18AB88CE}">
  <dimension ref="A1:AG22"/>
  <sheetViews>
    <sheetView workbookViewId="0">
      <selection activeCell="B7" sqref="B7"/>
    </sheetView>
  </sheetViews>
  <sheetFormatPr defaultRowHeight="15" x14ac:dyDescent="0.25"/>
  <cols>
    <col min="1" max="1" width="13.42578125" customWidth="1"/>
    <col min="2" max="2" width="24.7109375" customWidth="1"/>
    <col min="3" max="33" width="11.28515625" bestFit="1" customWidth="1"/>
  </cols>
  <sheetData>
    <row r="1" spans="1:33" ht="15.75" x14ac:dyDescent="0.25">
      <c r="A1" s="136" t="s">
        <v>96</v>
      </c>
      <c r="B1" s="136" t="s">
        <v>97</v>
      </c>
      <c r="C1" s="137" t="s">
        <v>1597</v>
      </c>
      <c r="D1" s="136" t="str">
        <f>TEXT(DATE(RIGHT(C1,4), MID(C1,4,2), LEFT(C1,2)+1),"DD/MM/YYYY")</f>
        <v>27/07/2026</v>
      </c>
      <c r="E1" s="136" t="str">
        <f t="shared" ref="E1:AG1" si="0">TEXT(DATE(RIGHT(D1,4), MID(D1,4,2), LEFT(D1,2)+1),"DD/MM/YYYY")</f>
        <v>28/07/2026</v>
      </c>
      <c r="F1" s="136" t="str">
        <f t="shared" si="0"/>
        <v>29/07/2026</v>
      </c>
      <c r="G1" s="136" t="str">
        <f t="shared" si="0"/>
        <v>30/07/2026</v>
      </c>
      <c r="H1" s="136" t="str">
        <f t="shared" si="0"/>
        <v>31/07/2026</v>
      </c>
      <c r="I1" s="136" t="str">
        <f t="shared" si="0"/>
        <v>01/08/2026</v>
      </c>
      <c r="J1" s="136" t="str">
        <f t="shared" si="0"/>
        <v>02/08/2026</v>
      </c>
      <c r="K1" s="136" t="str">
        <f t="shared" si="0"/>
        <v>03/08/2026</v>
      </c>
      <c r="L1" s="136" t="str">
        <f t="shared" si="0"/>
        <v>04/08/2026</v>
      </c>
      <c r="M1" s="136" t="str">
        <f t="shared" si="0"/>
        <v>05/08/2026</v>
      </c>
      <c r="N1" s="136" t="str">
        <f t="shared" si="0"/>
        <v>06/08/2026</v>
      </c>
      <c r="O1" s="136" t="str">
        <f t="shared" si="0"/>
        <v>07/08/2026</v>
      </c>
      <c r="P1" s="136" t="str">
        <f t="shared" si="0"/>
        <v>08/08/2026</v>
      </c>
      <c r="Q1" s="136" t="str">
        <f t="shared" si="0"/>
        <v>09/08/2026</v>
      </c>
      <c r="R1" s="136" t="str">
        <f t="shared" si="0"/>
        <v>10/08/2026</v>
      </c>
      <c r="S1" s="136" t="str">
        <f t="shared" si="0"/>
        <v>11/08/2026</v>
      </c>
      <c r="T1" s="136" t="str">
        <f t="shared" si="0"/>
        <v>12/08/2026</v>
      </c>
      <c r="U1" s="136" t="str">
        <f t="shared" si="0"/>
        <v>13/08/2026</v>
      </c>
      <c r="V1" s="136" t="str">
        <f t="shared" si="0"/>
        <v>14/08/2026</v>
      </c>
      <c r="W1" s="136" t="str">
        <f t="shared" si="0"/>
        <v>15/08/2026</v>
      </c>
      <c r="X1" s="136" t="str">
        <f t="shared" si="0"/>
        <v>16/08/2026</v>
      </c>
      <c r="Y1" s="136" t="str">
        <f t="shared" si="0"/>
        <v>17/08/2026</v>
      </c>
      <c r="Z1" s="136" t="str">
        <f t="shared" si="0"/>
        <v>18/08/2026</v>
      </c>
      <c r="AA1" s="136" t="str">
        <f t="shared" si="0"/>
        <v>19/08/2026</v>
      </c>
      <c r="AB1" s="136" t="str">
        <f t="shared" si="0"/>
        <v>20/08/2026</v>
      </c>
      <c r="AC1" s="136" t="str">
        <f t="shared" si="0"/>
        <v>21/08/2026</v>
      </c>
      <c r="AD1" s="136" t="str">
        <f t="shared" si="0"/>
        <v>22/08/2026</v>
      </c>
      <c r="AE1" s="136" t="str">
        <f t="shared" si="0"/>
        <v>23/08/2026</v>
      </c>
      <c r="AF1" s="136" t="str">
        <f t="shared" si="0"/>
        <v>24/08/2026</v>
      </c>
      <c r="AG1" s="136" t="str">
        <f t="shared" si="0"/>
        <v>25/08/2026</v>
      </c>
    </row>
    <row r="2" spans="1:33" x14ac:dyDescent="0.25">
      <c r="A2" s="138" t="s">
        <v>26</v>
      </c>
      <c r="B2" s="139" t="s">
        <v>27</v>
      </c>
      <c r="C2" s="140" t="str" cm="1">
        <f t="array" ref="C2">_xlfn.IFS(OCD!D12="","OFF",OCD!D12="HC","C087",OCD!D12="M","C510",OCD!D12="E","C519",OCD!D12="C9","C678", TRUE,"")</f>
        <v>C510</v>
      </c>
      <c r="D2" s="140" t="str" cm="1">
        <f t="array" ref="D2">_xlfn.IFS(OCD!E12="","OFF",OCD!E12="HC","C087",OCD!E12="M","C510",OCD!E12="E","C519",OCD!E12="C9","C678", TRUE,"")</f>
        <v>C519</v>
      </c>
      <c r="E2" s="140" t="str" cm="1">
        <f t="array" ref="E2">_xlfn.IFS(OCD!F12="","OFF",OCD!F12="HC","C087",OCD!F12="M","C510",OCD!F12="E","C519",OCD!F12="C9","C678", TRUE,"")</f>
        <v>OFF</v>
      </c>
      <c r="F2" s="140" t="str" cm="1">
        <f t="array" ref="F2">_xlfn.IFS(OCD!G12="","OFF",OCD!G12="HC","C087",OCD!G12="M","C510",OCD!G12="E","C519",OCD!G12="C9","C678", TRUE,"")</f>
        <v>OFF</v>
      </c>
      <c r="G2" s="140" t="str" cm="1">
        <f t="array" ref="G2">_xlfn.IFS(OCD!H12="","OFF",OCD!H12="HC","C087",OCD!H12="M","C510",OCD!H12="E","C519",OCD!H12="C9","C678", TRUE,"")</f>
        <v>C510</v>
      </c>
      <c r="H2" s="140" t="str" cm="1">
        <f t="array" ref="H2">_xlfn.IFS(OCD!I12="","OFF",OCD!I12="HC","C087",OCD!I12="M","C510",OCD!I12="E","C519",OCD!I12="C9","C678", TRUE,"")</f>
        <v>C510</v>
      </c>
      <c r="I2" s="140" t="str" cm="1">
        <f t="array" ref="I2">_xlfn.IFS(OCD!J12="","OFF",OCD!J12="HC","C087",OCD!J12="M","C510",OCD!J12="E","C519",OCD!J12="C9","C678", TRUE,"")</f>
        <v>C519</v>
      </c>
      <c r="J2" s="140" t="str" cm="1">
        <f t="array" ref="J2">_xlfn.IFS(OCD!K12="","OFF",OCD!K12="HC","C087",OCD!K12="M","C510",OCD!K12="E","C519",OCD!K12="C9","C678", TRUE,"")</f>
        <v>OFF</v>
      </c>
      <c r="K2" s="140" t="str" cm="1">
        <f t="array" ref="K2">_xlfn.IFS(OCD!L12="","OFF",OCD!L12="HC","C087",OCD!L12="M","C510",OCD!L12="E","C519",OCD!L12="C9","C678", TRUE,"")</f>
        <v>OFF</v>
      </c>
      <c r="L2" s="140" t="str" cm="1">
        <f t="array" ref="L2">_xlfn.IFS(OCD!M12="","OFF",OCD!M12="HC","C087",OCD!M12="M","C510",OCD!M12="E","C519",OCD!M12="C9","C678", TRUE,"")</f>
        <v>C510</v>
      </c>
      <c r="M2" s="140" t="str" cm="1">
        <f t="array" ref="M2">_xlfn.IFS(OCD!N12="","OFF",OCD!N12="HC","C087",OCD!N12="M","C510",OCD!N12="E","C519",OCD!N12="C9","C678", TRUE,"")</f>
        <v>C510</v>
      </c>
      <c r="N2" s="140" t="str" cm="1">
        <f t="array" ref="N2">_xlfn.IFS(OCD!O12="","OFF",OCD!O12="HC","C087",OCD!O12="M","C510",OCD!O12="E","C519",OCD!O12="C9","C678", TRUE,"")</f>
        <v>C519</v>
      </c>
      <c r="O2" s="140" t="str" cm="1">
        <f t="array" ref="O2">_xlfn.IFS(OCD!P12="","OFF",OCD!P12="HC","C087",OCD!P12="M","C510",OCD!P12="E","C519",OCD!P12="C9","C678", TRUE,"")</f>
        <v>OFF</v>
      </c>
      <c r="P2" s="140" t="str" cm="1">
        <f t="array" ref="P2">_xlfn.IFS(OCD!Q12="","OFF",OCD!Q12="HC","C087",OCD!Q12="M","C510",OCD!Q12="E","C519",OCD!Q12="C9","C678", TRUE,"")</f>
        <v>OFF</v>
      </c>
      <c r="Q2" s="140" t="str" cm="1">
        <f t="array" ref="Q2">_xlfn.IFS(OCD!R12="","OFF",OCD!R12="HC","C087",OCD!R12="M","C510",OCD!R12="E","C519",OCD!R12="C9","C678", TRUE,"")</f>
        <v>OFF</v>
      </c>
      <c r="R2" s="140" t="str" cm="1">
        <f t="array" ref="R2">_xlfn.IFS(OCD!S12="","OFF",OCD!S12="HC","C087",OCD!S12="M","C510",OCD!S12="E","C519",OCD!S12="C9","C678", TRUE,"")</f>
        <v>C510</v>
      </c>
      <c r="S2" s="140" t="str" cm="1">
        <f t="array" ref="S2">_xlfn.IFS(OCD!T12="","OFF",OCD!T12="HC","C087",OCD!T12="M","C510",OCD!T12="E","C519",OCD!T12="C9","C678", TRUE,"")</f>
        <v>C519</v>
      </c>
      <c r="T2" s="140" t="str" cm="1">
        <f t="array" ref="T2">_xlfn.IFS(OCD!U12="","OFF",OCD!U12="HC","C087",OCD!U12="M","C510",OCD!U12="E","C519",OCD!U12="C9","C678", TRUE,"")</f>
        <v>OFF</v>
      </c>
      <c r="U2" s="140" t="str" cm="1">
        <f t="array" ref="U2">_xlfn.IFS(OCD!V12="","OFF",OCD!V12="HC","C087",OCD!V12="M","C510",OCD!V12="E","C519",OCD!V12="C9","C678", TRUE,"")</f>
        <v>OFF</v>
      </c>
      <c r="V2" s="140" t="str" cm="1">
        <f t="array" ref="V2">_xlfn.IFS(OCD!W12="","OFF",OCD!W12="HC","C087",OCD!W12="M","C510",OCD!W12="E","C519",OCD!W12="C9","C678", TRUE,"")</f>
        <v>C519</v>
      </c>
      <c r="W2" s="140" t="str" cm="1">
        <f t="array" ref="W2">_xlfn.IFS(OCD!X12="","OFF",OCD!X12="HC","C087",OCD!X12="M","C510",OCD!X12="E","C519",OCD!X12="C9","C678", TRUE,"")</f>
        <v>OFF</v>
      </c>
      <c r="X2" s="140" t="str" cm="1">
        <f t="array" ref="X2">_xlfn.IFS(OCD!Y12="","OFF",OCD!Y12="HC","C087",OCD!Y12="M","C510",OCD!Y12="E","C519",OCD!Y12="C9","C678", TRUE,"")</f>
        <v>C510</v>
      </c>
      <c r="Y2" s="140" t="str" cm="1">
        <f t="array" ref="Y2">_xlfn.IFS(OCD!Z12="","OFF",OCD!Z12="HC","C087",OCD!Z12="M","C510",OCD!Z12="E","C519",OCD!Z12="C9","C678", TRUE,"")</f>
        <v>C087</v>
      </c>
      <c r="Z2" s="140" t="str" cm="1">
        <f t="array" ref="Z2">_xlfn.IFS(OCD!AA12="","OFF",OCD!AA12="HC","C087",OCD!AA12="M","C510",OCD!AA12="E","C519",OCD!AA12="C9","C678", TRUE,"")</f>
        <v>OFF</v>
      </c>
      <c r="AA2" s="140" t="str" cm="1">
        <f t="array" ref="AA2">_xlfn.IFS(OCD!AB12="","OFF",OCD!AB12="HC","C087",OCD!AB12="M","C510",OCD!AB12="E","C519",OCD!AB12="C9","C678", TRUE,"")</f>
        <v>C087</v>
      </c>
      <c r="AB2" s="140" t="str" cm="1">
        <f t="array" ref="AB2">_xlfn.IFS(OCD!AC12="","OFF",OCD!AC12="HC","C087",OCD!AC12="M","C510",OCD!AC12="E","C519",OCD!AC12="C9","C678", TRUE,"")</f>
        <v>C519</v>
      </c>
      <c r="AC2" s="140" t="str" cm="1">
        <f t="array" ref="AC2">_xlfn.IFS(OCD!AD12="","OFF",OCD!AD12="HC","C087",OCD!AD12="M","C510",OCD!AD12="E","C519",OCD!AD12="C9","C678", TRUE,"")</f>
        <v>OFF</v>
      </c>
      <c r="AD2" s="140" t="str" cm="1">
        <f t="array" ref="AD2">_xlfn.IFS(OCD!AE12="","OFF",OCD!AE12="HC","C087",OCD!AE12="M","C510",OCD!AE12="E","C519",OCD!AE12="C9","C678", TRUE,"")</f>
        <v>C519</v>
      </c>
      <c r="AE2" s="140" t="str" cm="1">
        <f t="array" ref="AE2">_xlfn.IFS(OCD!AF12="","OFF",OCD!AF12="HC","C087",OCD!AF12="M","C510",OCD!AF12="E","C519",OCD!AF12="C9","C678", TRUE,"")</f>
        <v>OFF</v>
      </c>
      <c r="AF2" s="140" t="str" cm="1">
        <f t="array" ref="AF2">_xlfn.IFS(OCD!AG12="","OFF",OCD!AG12="HC","C087",OCD!AG12="M","C510",OCD!AG12="E","C519",OCD!AG12="C9","C678", TRUE,"")</f>
        <v>C087</v>
      </c>
      <c r="AG2" s="140" t="str" cm="1">
        <f t="array" ref="AG2">_xlfn.IFS(OCD!AH12="","OFF",OCD!AH12="HC","C087",OCD!AH12="M","C510",OCD!AH12="E","C519",OCD!AH12="C9","C678", TRUE,"")</f>
        <v>C519</v>
      </c>
    </row>
    <row r="3" spans="1:33" x14ac:dyDescent="0.25">
      <c r="A3" s="138" t="s">
        <v>31</v>
      </c>
      <c r="B3" s="139" t="s">
        <v>32</v>
      </c>
      <c r="C3" s="140" t="str" cm="1">
        <f t="array" ref="C3">_xlfn.IFS(OCD!D13="","OFF",OCD!D13="HC","C087",OCD!D13="M","C510",OCD!D13="E","C519",OCD!D13="C9","C678", TRUE,"")</f>
        <v>C519</v>
      </c>
      <c r="D3" s="140" t="str" cm="1">
        <f t="array" ref="D3">_xlfn.IFS(OCD!E13="","OFF",OCD!E13="HC","C087",OCD!E13="M","C510",OCD!E13="E","C519",OCD!E13="C9","C678", TRUE,"")</f>
        <v>OFF</v>
      </c>
      <c r="E3" s="140" t="str" cm="1">
        <f t="array" ref="E3">_xlfn.IFS(OCD!F13="","OFF",OCD!F13="HC","C087",OCD!F13="M","C510",OCD!F13="E","C519",OCD!F13="C9","C678", TRUE,"")</f>
        <v>OFF</v>
      </c>
      <c r="F3" s="140" t="str" cm="1">
        <f t="array" ref="F3">_xlfn.IFS(OCD!G13="","OFF",OCD!G13="HC","C087",OCD!G13="M","C510",OCD!G13="E","C519",OCD!G13="C9","C678", TRUE,"")</f>
        <v>C510</v>
      </c>
      <c r="G3" s="140" t="str" cm="1">
        <f t="array" ref="G3">_xlfn.IFS(OCD!H13="","OFF",OCD!H13="HC","C087",OCD!H13="M","C510",OCD!H13="E","C519",OCD!H13="C9","C678", TRUE,"")</f>
        <v>C510</v>
      </c>
      <c r="H3" s="140" t="str" cm="1">
        <f t="array" ref="H3">_xlfn.IFS(OCD!I13="","OFF",OCD!I13="HC","C087",OCD!I13="M","C510",OCD!I13="E","C519",OCD!I13="C9","C678", TRUE,"")</f>
        <v>C519</v>
      </c>
      <c r="I3" s="140" t="str" cm="1">
        <f t="array" ref="I3">_xlfn.IFS(OCD!J13="","OFF",OCD!J13="HC","C087",OCD!J13="M","C510",OCD!J13="E","C519",OCD!J13="C9","C678", TRUE,"")</f>
        <v>OFF</v>
      </c>
      <c r="J3" s="140" t="str" cm="1">
        <f t="array" ref="J3">_xlfn.IFS(OCD!K13="","OFF",OCD!K13="HC","C087",OCD!K13="M","C510",OCD!K13="E","C519",OCD!K13="C9","C678", TRUE,"")</f>
        <v>OFF</v>
      </c>
      <c r="K3" s="140" t="str" cm="1">
        <f t="array" ref="K3">_xlfn.IFS(OCD!L13="","OFF",OCD!L13="HC","C087",OCD!L13="M","C510",OCD!L13="E","C519",OCD!L13="C9","C678", TRUE,"")</f>
        <v>C510</v>
      </c>
      <c r="L3" s="140" t="str" cm="1">
        <f t="array" ref="L3">_xlfn.IFS(OCD!M13="","OFF",OCD!M13="HC","C087",OCD!M13="M","C510",OCD!M13="E","C519",OCD!M13="C9","C678", TRUE,"")</f>
        <v>C519</v>
      </c>
      <c r="M3" s="140" t="str" cm="1">
        <f t="array" ref="M3">_xlfn.IFS(OCD!N13="","OFF",OCD!N13="HC","C087",OCD!N13="M","C510",OCD!N13="E","C519",OCD!N13="C9","C678", TRUE,"")</f>
        <v>OFF</v>
      </c>
      <c r="N3" s="140" t="str" cm="1">
        <f t="array" ref="N3">_xlfn.IFS(OCD!O13="","OFF",OCD!O13="HC","C087",OCD!O13="M","C510",OCD!O13="E","C519",OCD!O13="C9","C678", TRUE,"")</f>
        <v>C510</v>
      </c>
      <c r="O3" s="140" t="str" cm="1">
        <f t="array" ref="O3">_xlfn.IFS(OCD!P13="","OFF",OCD!P13="HC","C087",OCD!P13="M","C510",OCD!P13="E","C519",OCD!P13="C9","C678", TRUE,"")</f>
        <v>OFF</v>
      </c>
      <c r="P3" s="140" t="str" cm="1">
        <f t="array" ref="P3">_xlfn.IFS(OCD!Q13="","OFF",OCD!Q13="HC","C087",OCD!Q13="M","C510",OCD!Q13="E","C519",OCD!Q13="C9","C678", TRUE,"")</f>
        <v>C510</v>
      </c>
      <c r="Q3" s="140" t="str" cm="1">
        <f t="array" ref="Q3">_xlfn.IFS(OCD!R13="","OFF",OCD!R13="HC","C087",OCD!R13="M","C510",OCD!R13="E","C519",OCD!R13="C9","C678", TRUE,"")</f>
        <v>C519</v>
      </c>
      <c r="R3" s="140" t="str" cm="1">
        <f t="array" ref="R3">_xlfn.IFS(OCD!S13="","OFF",OCD!S13="HC","C087",OCD!S13="M","C510",OCD!S13="E","C519",OCD!S13="C9","C678", TRUE,"")</f>
        <v>OFF</v>
      </c>
      <c r="S3" s="140" t="str" cm="1">
        <f t="array" ref="S3">_xlfn.IFS(OCD!T13="","OFF",OCD!T13="HC","C087",OCD!T13="M","C510",OCD!T13="E","C519",OCD!T13="C9","C678", TRUE,"")</f>
        <v>OFF</v>
      </c>
      <c r="T3" s="140" t="str" cm="1">
        <f t="array" ref="T3">_xlfn.IFS(OCD!U13="","OFF",OCD!U13="HC","C087",OCD!U13="M","C510",OCD!U13="E","C519",OCD!U13="C9","C678", TRUE,"")</f>
        <v>C519</v>
      </c>
      <c r="U3" s="140" t="str" cm="1">
        <f t="array" ref="U3">_xlfn.IFS(OCD!V13="","OFF",OCD!V13="HC","C087",OCD!V13="M","C510",OCD!V13="E","C519",OCD!V13="C9","C678", TRUE,"")</f>
        <v>C519</v>
      </c>
      <c r="V3" s="140" t="str" cm="1">
        <f t="array" ref="V3">_xlfn.IFS(OCD!W13="","OFF",OCD!W13="HC","C087",OCD!W13="M","C510",OCD!W13="E","C519",OCD!W13="C9","C678", TRUE,"")</f>
        <v>OFF</v>
      </c>
      <c r="W3" s="140" t="str" cm="1">
        <f t="array" ref="W3">_xlfn.IFS(OCD!X13="","OFF",OCD!X13="HC","C087",OCD!X13="M","C510",OCD!X13="E","C519",OCD!X13="C9","C678", TRUE,"")</f>
        <v>C510</v>
      </c>
      <c r="X3" s="140" t="str" cm="1">
        <f t="array" ref="X3">_xlfn.IFS(OCD!Y13="","OFF",OCD!Y13="HC","C087",OCD!Y13="M","C510",OCD!Y13="E","C519",OCD!Y13="C9","C678", TRUE,"")</f>
        <v>OFF</v>
      </c>
      <c r="Y3" s="140" t="str" cm="1">
        <f t="array" ref="Y3">_xlfn.IFS(OCD!Z13="","OFF",OCD!Z13="HC","C087",OCD!Z13="M","C510",OCD!Z13="E","C519",OCD!Z13="C9","C678", TRUE,"")</f>
        <v>C087</v>
      </c>
      <c r="Z3" s="140" t="str" cm="1">
        <f t="array" ref="Z3">_xlfn.IFS(OCD!AA13="","OFF",OCD!AA13="HC","C087",OCD!AA13="M","C510",OCD!AA13="E","C519",OCD!AA13="C9","C678", TRUE,"")</f>
        <v>C510</v>
      </c>
      <c r="AA3" s="140" t="str" cm="1">
        <f t="array" ref="AA3">_xlfn.IFS(OCD!AB13="","OFF",OCD!AB13="HC","C087",OCD!AB13="M","C510",OCD!AB13="E","C519",OCD!AB13="C9","C678", TRUE,"")</f>
        <v>C087</v>
      </c>
      <c r="AB3" s="140" t="str" cm="1">
        <f t="array" ref="AB3">_xlfn.IFS(OCD!AC13="","OFF",OCD!AC13="HC","C087",OCD!AC13="M","C510",OCD!AC13="E","C519",OCD!AC13="C9","C678", TRUE,"")</f>
        <v>OFF</v>
      </c>
      <c r="AC3" s="140" t="str" cm="1">
        <f t="array" ref="AC3">_xlfn.IFS(OCD!AD13="","OFF",OCD!AD13="HC","C087",OCD!AD13="M","C510",OCD!AD13="E","C519",OCD!AD13="C9","C678", TRUE,"")</f>
        <v>C519</v>
      </c>
      <c r="AD3" s="140" t="str" cm="1">
        <f t="array" ref="AD3">_xlfn.IFS(OCD!AE13="","OFF",OCD!AE13="HC","C087",OCD!AE13="M","C510",OCD!AE13="E","C519",OCD!AE13="C9","C678", TRUE,"")</f>
        <v>OFF</v>
      </c>
      <c r="AE3" s="140" t="str" cm="1">
        <f t="array" ref="AE3">_xlfn.IFS(OCD!AF13="","OFF",OCD!AF13="HC","C087",OCD!AF13="M","C510",OCD!AF13="E","C519",OCD!AF13="C9","C678", TRUE,"")</f>
        <v>C510</v>
      </c>
      <c r="AF3" s="140" t="str" cm="1">
        <f t="array" ref="AF3">_xlfn.IFS(OCD!AG13="","OFF",OCD!AG13="HC","C087",OCD!AG13="M","C510",OCD!AG13="E","C519",OCD!AG13="C9","C678", TRUE,"")</f>
        <v>C087</v>
      </c>
      <c r="AG3" s="140" t="str" cm="1">
        <f t="array" ref="AG3">_xlfn.IFS(OCD!AH13="","OFF",OCD!AH13="HC","C087",OCD!AH13="M","C510",OCD!AH13="E","C519",OCD!AH13="C9","C678", TRUE,"")</f>
        <v>OFF</v>
      </c>
    </row>
    <row r="4" spans="1:33" x14ac:dyDescent="0.25">
      <c r="A4" s="138" t="s">
        <v>33</v>
      </c>
      <c r="B4" s="139" t="s">
        <v>34</v>
      </c>
      <c r="C4" s="140" t="str" cm="1">
        <f t="array" ref="C4">_xlfn.IFS(OCD!D14="","OFF",OCD!D14="HC","C087",OCD!D14="M","C510",OCD!D14="E","C519",OCD!D14="C9","C678", TRUE,"")</f>
        <v>OFF</v>
      </c>
      <c r="D4" s="140" t="str" cm="1">
        <f t="array" ref="D4">_xlfn.IFS(OCD!E14="","OFF",OCD!E14="HC","C087",OCD!E14="M","C510",OCD!E14="E","C519",OCD!E14="C9","C678", TRUE,"")</f>
        <v>C510</v>
      </c>
      <c r="E4" s="140" t="str" cm="1">
        <f t="array" ref="E4">_xlfn.IFS(OCD!F14="","OFF",OCD!F14="HC","C087",OCD!F14="M","C510",OCD!F14="E","C519",OCD!F14="C9","C678", TRUE,"")</f>
        <v>C519</v>
      </c>
      <c r="F4" s="140" t="str" cm="1">
        <f t="array" ref="F4">_xlfn.IFS(OCD!G14="","OFF",OCD!G14="HC","C087",OCD!G14="M","C510",OCD!G14="E","C519",OCD!G14="C9","C678", TRUE,"")</f>
        <v>OFF</v>
      </c>
      <c r="G4" s="140" t="str" cm="1">
        <f t="array" ref="G4">_xlfn.IFS(OCD!H14="","OFF",OCD!H14="HC","C087",OCD!H14="M","C510",OCD!H14="E","C519",OCD!H14="C9","C678", TRUE,"")</f>
        <v>OFF</v>
      </c>
      <c r="H4" s="140" t="str" cm="1">
        <f t="array" ref="H4">_xlfn.IFS(OCD!I14="","OFF",OCD!I14="HC","C087",OCD!I14="M","C510",OCD!I14="E","C519",OCD!I14="C9","C678", TRUE,"")</f>
        <v>C510</v>
      </c>
      <c r="I4" s="140" t="str" cm="1">
        <f t="array" ref="I4">_xlfn.IFS(OCD!J14="","OFF",OCD!J14="HC","C087",OCD!J14="M","C510",OCD!J14="E","C519",OCD!J14="C9","C678", TRUE,"")</f>
        <v>OFF</v>
      </c>
      <c r="J4" s="140" t="str" cm="1">
        <f t="array" ref="J4">_xlfn.IFS(OCD!K14="","OFF",OCD!K14="HC","C087",OCD!K14="M","C510",OCD!K14="E","C519",OCD!K14="C9","C678", TRUE,"")</f>
        <v>C519</v>
      </c>
      <c r="K4" s="140" t="str" cm="1">
        <f t="array" ref="K4">_xlfn.IFS(OCD!L14="","OFF",OCD!L14="HC","C087",OCD!L14="M","C510",OCD!L14="E","C519",OCD!L14="C9","C678", TRUE,"")</f>
        <v>OFF</v>
      </c>
      <c r="L4" s="140" t="str" cm="1">
        <f t="array" ref="L4">_xlfn.IFS(OCD!M14="","OFF",OCD!M14="HC","C087",OCD!M14="M","C510",OCD!M14="E","C519",OCD!M14="C9","C678", TRUE,"")</f>
        <v>OFF</v>
      </c>
      <c r="M4" s="140" t="str" cm="1">
        <f t="array" ref="M4">_xlfn.IFS(OCD!N14="","OFF",OCD!N14="HC","C087",OCD!N14="M","C510",OCD!N14="E","C519",OCD!N14="C9","C678", TRUE,"")</f>
        <v>C519</v>
      </c>
      <c r="N4" s="140" t="str" cm="1">
        <f t="array" ref="N4">_xlfn.IFS(OCD!O14="","OFF",OCD!O14="HC","C087",OCD!O14="M","C510",OCD!O14="E","C519",OCD!O14="C9","C678", TRUE,"")</f>
        <v>OFF</v>
      </c>
      <c r="O4" s="140" t="str" cm="1">
        <f t="array" ref="O4">_xlfn.IFS(OCD!P14="","OFF",OCD!P14="HC","C087",OCD!P14="M","C510",OCD!P14="E","C519",OCD!P14="C9","C678", TRUE,"")</f>
        <v>C087</v>
      </c>
      <c r="P4" s="140" t="str" cm="1">
        <f t="array" ref="P4">_xlfn.IFS(OCD!Q14="","OFF",OCD!Q14="HC","C087",OCD!Q14="M","C510",OCD!Q14="E","C519",OCD!Q14="C9","C678", TRUE,"")</f>
        <v>C519</v>
      </c>
      <c r="Q4" s="140" t="str" cm="1">
        <f t="array" ref="Q4">_xlfn.IFS(OCD!R14="","OFF",OCD!R14="HC","C087",OCD!R14="M","C510",OCD!R14="E","C519",OCD!R14="C9","C678", TRUE,"")</f>
        <v>OFF</v>
      </c>
      <c r="R4" s="140" t="str" cm="1">
        <f t="array" ref="R4">_xlfn.IFS(OCD!S14="","OFF",OCD!S14="HC","C087",OCD!S14="M","C510",OCD!S14="E","C519",OCD!S14="C9","C678", TRUE,"")</f>
        <v>OFF</v>
      </c>
      <c r="S4" s="140" t="str" cm="1">
        <f t="array" ref="S4">_xlfn.IFS(OCD!T14="","OFF",OCD!T14="HC","C087",OCD!T14="M","C510",OCD!T14="E","C519",OCD!T14="C9","C678", TRUE,"")</f>
        <v>C510</v>
      </c>
      <c r="T4" s="140" t="str" cm="1">
        <f t="array" ref="T4">_xlfn.IFS(OCD!U14="","OFF",OCD!U14="HC","C087",OCD!U14="M","C510",OCD!U14="E","C519",OCD!U14="C9","C678", TRUE,"")</f>
        <v>C510</v>
      </c>
      <c r="U4" s="140" t="str" cm="1">
        <f t="array" ref="U4">_xlfn.IFS(OCD!V14="","OFF",OCD!V14="HC","C087",OCD!V14="M","C510",OCD!V14="E","C519",OCD!V14="C9","C678", TRUE,"")</f>
        <v>OFF</v>
      </c>
      <c r="V4" s="140" t="str" cm="1">
        <f t="array" ref="V4">_xlfn.IFS(OCD!W14="","OFF",OCD!W14="HC","C087",OCD!W14="M","C510",OCD!W14="E","C519",OCD!W14="C9","C678", TRUE,"")</f>
        <v>C087</v>
      </c>
      <c r="W4" s="140" t="str" cm="1">
        <f t="array" ref="W4">_xlfn.IFS(OCD!X14="","OFF",OCD!X14="HC","C087",OCD!X14="M","C510",OCD!X14="E","C519",OCD!X14="C9","C678", TRUE,"")</f>
        <v>C519</v>
      </c>
      <c r="X4" s="140" t="str" cm="1">
        <f t="array" ref="X4">_xlfn.IFS(OCD!Y14="","OFF",OCD!Y14="HC","C087",OCD!Y14="M","C510",OCD!Y14="E","C519",OCD!Y14="C9","C678", TRUE,"")</f>
        <v>C519</v>
      </c>
      <c r="Y4" s="140" t="str" cm="1">
        <f t="array" ref="Y4">_xlfn.IFS(OCD!Z14="","OFF",OCD!Z14="HC","C087",OCD!Z14="M","C510",OCD!Z14="E","C519",OCD!Z14="C9","C678", TRUE,"")</f>
        <v>C519</v>
      </c>
      <c r="Z4" s="140" t="str" cm="1">
        <f t="array" ref="Z4">_xlfn.IFS(OCD!AA14="","OFF",OCD!AA14="HC","C087",OCD!AA14="M","C510",OCD!AA14="E","C519",OCD!AA14="C9","C678", TRUE,"")</f>
        <v>OFF</v>
      </c>
      <c r="AA4" s="140" t="str" cm="1">
        <f t="array" ref="AA4">_xlfn.IFS(OCD!AB14="","OFF",OCD!AB14="HC","C087",OCD!AB14="M","C510",OCD!AB14="E","C519",OCD!AB14="C9","C678", TRUE,"")</f>
        <v>C510</v>
      </c>
      <c r="AB4" s="140" t="str" cm="1">
        <f t="array" ref="AB4">_xlfn.IFS(OCD!AC14="","OFF",OCD!AC14="HC","C087",OCD!AC14="M","C510",OCD!AC14="E","C519",OCD!AC14="C9","C678", TRUE,"")</f>
        <v>C510</v>
      </c>
      <c r="AC4" s="140" t="str" cm="1">
        <f t="array" ref="AC4">_xlfn.IFS(OCD!AD14="","OFF",OCD!AD14="HC","C087",OCD!AD14="M","C510",OCD!AD14="E","C519",OCD!AD14="C9","C678", TRUE,"")</f>
        <v>OFF</v>
      </c>
      <c r="AD4" s="140" t="str" cm="1">
        <f t="array" ref="AD4">_xlfn.IFS(OCD!AE14="","OFF",OCD!AE14="HC","C087",OCD!AE14="M","C510",OCD!AE14="E","C519",OCD!AE14="C9","C678", TRUE,"")</f>
        <v>C510</v>
      </c>
      <c r="AE4" s="140" t="str" cm="1">
        <f t="array" ref="AE4">_xlfn.IFS(OCD!AF14="","OFF",OCD!AF14="HC","C087",OCD!AF14="M","C510",OCD!AF14="E","C519",OCD!AF14="C9","C678", TRUE,"")</f>
        <v>C519</v>
      </c>
      <c r="AF4" s="140" t="str" cm="1">
        <f t="array" ref="AF4">_xlfn.IFS(OCD!AG14="","OFF",OCD!AG14="HC","C087",OCD!AG14="M","C510",OCD!AG14="E","C519",OCD!AG14="C9","C678", TRUE,"")</f>
        <v>C519</v>
      </c>
      <c r="AG4" s="140" t="str" cm="1">
        <f t="array" ref="AG4">_xlfn.IFS(OCD!AH14="","OFF",OCD!AH14="HC","C087",OCD!AH14="M","C510",OCD!AH14="E","C519",OCD!AH14="C9","C678", TRUE,"")</f>
        <v>OFF</v>
      </c>
    </row>
    <row r="5" spans="1:33" x14ac:dyDescent="0.25">
      <c r="A5" s="138" t="s">
        <v>35</v>
      </c>
      <c r="B5" s="139" t="s">
        <v>36</v>
      </c>
      <c r="C5" s="140" t="str" cm="1">
        <f t="array" ref="C5">_xlfn.IFS(OCD!D15="","OFF",OCD!D15="HC","C087",OCD!D15="M","C510",OCD!D15="E","C519",OCD!D15="C9","C678", TRUE,"")</f>
        <v>OFF</v>
      </c>
      <c r="D5" s="140" t="str" cm="1">
        <f t="array" ref="D5">_xlfn.IFS(OCD!E15="","OFF",OCD!E15="HC","C087",OCD!E15="M","C510",OCD!E15="E","C519",OCD!E15="C9","C678", TRUE,"")</f>
        <v>OFF</v>
      </c>
      <c r="E5" s="140" t="str" cm="1">
        <f t="array" ref="E5">_xlfn.IFS(OCD!F15="","OFF",OCD!F15="HC","C087",OCD!F15="M","C510",OCD!F15="E","C519",OCD!F15="C9","C678", TRUE,"")</f>
        <v>C510</v>
      </c>
      <c r="F5" s="140" t="str" cm="1">
        <f t="array" ref="F5">_xlfn.IFS(OCD!G15="","OFF",OCD!G15="HC","C087",OCD!G15="M","C510",OCD!G15="E","C519",OCD!G15="C9","C678", TRUE,"")</f>
        <v>C519</v>
      </c>
      <c r="G5" s="140" t="str" cm="1">
        <f t="array" ref="G5">_xlfn.IFS(OCD!H15="","OFF",OCD!H15="HC","C087",OCD!H15="M","C510",OCD!H15="E","C519",OCD!H15="C9","C678", TRUE,"")</f>
        <v>C519</v>
      </c>
      <c r="H5" s="140" t="str" cm="1">
        <f t="array" ref="H5">_xlfn.IFS(OCD!I15="","OFF",OCD!I15="HC","C087",OCD!I15="M","C510",OCD!I15="E","C519",OCD!I15="C9","C678", TRUE,"")</f>
        <v>OFF</v>
      </c>
      <c r="I5" s="140" t="str" cm="1">
        <f t="array" ref="I5">_xlfn.IFS(OCD!J15="","OFF",OCD!J15="HC","C087",OCD!J15="M","C510",OCD!J15="E","C519",OCD!J15="C9","C678", TRUE,"")</f>
        <v>C510</v>
      </c>
      <c r="J5" s="140" t="str" cm="1">
        <f t="array" ref="J5">_xlfn.IFS(OCD!K15="","OFF",OCD!K15="HC","C087",OCD!K15="M","C510",OCD!K15="E","C519",OCD!K15="C9","C678", TRUE,"")</f>
        <v>C510</v>
      </c>
      <c r="K5" s="140" t="str" cm="1">
        <f t="array" ref="K5">_xlfn.IFS(OCD!L15="","OFF",OCD!L15="HC","C087",OCD!L15="M","C510",OCD!L15="E","C519",OCD!L15="C9","C678", TRUE,"")</f>
        <v>C519</v>
      </c>
      <c r="L5" s="140" t="str" cm="1">
        <f t="array" ref="L5">_xlfn.IFS(OCD!M15="","OFF",OCD!M15="HC","C087",OCD!M15="M","C510",OCD!M15="E","C519",OCD!M15="C9","C678", TRUE,"")</f>
        <v>OFF</v>
      </c>
      <c r="M5" s="140" t="str" cm="1">
        <f t="array" ref="M5">_xlfn.IFS(OCD!N15="","OFF",OCD!N15="HC","C087",OCD!N15="M","C510",OCD!N15="E","C519",OCD!N15="C9","C678", TRUE,"")</f>
        <v>OFF</v>
      </c>
      <c r="N5" s="140" t="str" cm="1">
        <f t="array" ref="N5">_xlfn.IFS(OCD!O15="","OFF",OCD!O15="HC","C087",OCD!O15="M","C510",OCD!O15="E","C519",OCD!O15="C9","C678", TRUE,"")</f>
        <v>OFF</v>
      </c>
      <c r="O5" s="140" t="str" cm="1">
        <f t="array" ref="O5">_xlfn.IFS(OCD!P15="","OFF",OCD!P15="HC","C087",OCD!P15="M","C510",OCD!P15="E","C519",OCD!P15="C9","C678", TRUE,"")</f>
        <v>C519</v>
      </c>
      <c r="P5" s="140" t="str" cm="1">
        <f t="array" ref="P5">_xlfn.IFS(OCD!Q15="","OFF",OCD!Q15="HC","C087",OCD!Q15="M","C510",OCD!Q15="E","C519",OCD!Q15="C9","C678", TRUE,"")</f>
        <v>OFF</v>
      </c>
      <c r="Q5" s="140" t="str" cm="1">
        <f t="array" ref="Q5">_xlfn.IFS(OCD!R15="","OFF",OCD!R15="HC","C087",OCD!R15="M","C510",OCD!R15="E","C519",OCD!R15="C9","C678", TRUE,"")</f>
        <v>C510</v>
      </c>
      <c r="R5" s="140" t="str" cm="1">
        <f t="array" ref="R5">_xlfn.IFS(OCD!S15="","OFF",OCD!S15="HC","C087",OCD!S15="M","C510",OCD!S15="E","C519",OCD!S15="C9","C678", TRUE,"")</f>
        <v>C519</v>
      </c>
      <c r="S5" s="140" t="str" cm="1">
        <f t="array" ref="S5">_xlfn.IFS(OCD!T15="","OFF",OCD!T15="HC","C087",OCD!T15="M","C510",OCD!T15="E","C519",OCD!T15="C9","C678", TRUE,"")</f>
        <v>OFF</v>
      </c>
      <c r="T5" s="140" t="str" cm="1">
        <f t="array" ref="T5">_xlfn.IFS(OCD!U15="","OFF",OCD!U15="HC","C087",OCD!U15="M","C510",OCD!U15="E","C519",OCD!U15="C9","C678", TRUE,"")</f>
        <v>C510</v>
      </c>
      <c r="U5" s="140" t="str" cm="1">
        <f t="array" ref="U5">_xlfn.IFS(OCD!V15="","OFF",OCD!V15="HC","C087",OCD!V15="M","C510",OCD!V15="E","C519",OCD!V15="C9","C678", TRUE,"")</f>
        <v>C510</v>
      </c>
      <c r="V5" s="140" t="str" cm="1">
        <f t="array" ref="V5">_xlfn.IFS(OCD!W15="","OFF",OCD!W15="HC","C087",OCD!W15="M","C510",OCD!W15="E","C519",OCD!W15="C9","C678", TRUE,"")</f>
        <v>OFF</v>
      </c>
      <c r="W5" s="140" t="str" cm="1">
        <f t="array" ref="W5">_xlfn.IFS(OCD!X15="","OFF",OCD!X15="HC","C087",OCD!X15="M","C510",OCD!X15="E","C519",OCD!X15="C9","C678", TRUE,"")</f>
        <v>OFF</v>
      </c>
      <c r="X5" s="140" t="str" cm="1">
        <f t="array" ref="X5">_xlfn.IFS(OCD!Y15="","OFF",OCD!Y15="HC","C087",OCD!Y15="M","C510",OCD!Y15="E","C519",OCD!Y15="C9","C678", TRUE,"")</f>
        <v>OFF</v>
      </c>
      <c r="Y5" s="140" t="str" cm="1">
        <f t="array" ref="Y5">_xlfn.IFS(OCD!Z15="","OFF",OCD!Z15="HC","C087",OCD!Z15="M","C510",OCD!Z15="E","C519",OCD!Z15="C9","C678", TRUE,"")</f>
        <v>C510</v>
      </c>
      <c r="Z5" s="140" t="str" cm="1">
        <f t="array" ref="Z5">_xlfn.IFS(OCD!AA15="","OFF",OCD!AA15="HC","C087",OCD!AA15="M","C510",OCD!AA15="E","C519",OCD!AA15="C9","C678", TRUE,"")</f>
        <v>C519</v>
      </c>
      <c r="AA5" s="140" t="str" cm="1">
        <f t="array" ref="AA5">_xlfn.IFS(OCD!AB15="","OFF",OCD!AB15="HC","C087",OCD!AB15="M","C510",OCD!AB15="E","C519",OCD!AB15="C9","C678", TRUE,"")</f>
        <v>C519</v>
      </c>
      <c r="AB5" s="140" t="str" cm="1">
        <f t="array" ref="AB5">_xlfn.IFS(OCD!AC15="","OFF",OCD!AC15="HC","C087",OCD!AC15="M","C510",OCD!AC15="E","C519",OCD!AC15="C9","C678", TRUE,"")</f>
        <v>OFF</v>
      </c>
      <c r="AC5" s="140" t="str" cm="1">
        <f t="array" ref="AC5">_xlfn.IFS(OCD!AD15="","OFF",OCD!AD15="HC","C087",OCD!AD15="M","C510",OCD!AD15="E","C519",OCD!AD15="C9","C678", TRUE,"")</f>
        <v>C510</v>
      </c>
      <c r="AD5" s="140" t="str" cm="1">
        <f t="array" ref="AD5">_xlfn.IFS(OCD!AE15="","OFF",OCD!AE15="HC","C087",OCD!AE15="M","C510",OCD!AE15="E","C519",OCD!AE15="C9","C678", TRUE,"")</f>
        <v>OFF</v>
      </c>
      <c r="AE5" s="140" t="str" cm="1">
        <f t="array" ref="AE5">_xlfn.IFS(OCD!AF15="","OFF",OCD!AF15="HC","C087",OCD!AF15="M","C510",OCD!AF15="E","C519",OCD!AF15="C9","C678", TRUE,"")</f>
        <v>OFF</v>
      </c>
      <c r="AF5" s="140" t="str" cm="1">
        <f t="array" ref="AF5">_xlfn.IFS(OCD!AG15="","OFF",OCD!AG15="HC","C087",OCD!AG15="M","C510",OCD!AG15="E","C519",OCD!AG15="C9","C678", TRUE,"")</f>
        <v>C510</v>
      </c>
      <c r="AG5" s="140" t="str" cm="1">
        <f t="array" ref="AG5">_xlfn.IFS(OCD!AH15="","OFF",OCD!AH15="HC","C087",OCD!AH15="M","C510",OCD!AH15="E","C519",OCD!AH15="C9","C678", TRUE,"")</f>
        <v>C510</v>
      </c>
    </row>
    <row r="6" spans="1:33" x14ac:dyDescent="0.25">
      <c r="A6" s="138" t="s">
        <v>37</v>
      </c>
      <c r="B6" s="139" t="s">
        <v>38</v>
      </c>
      <c r="C6" s="140" t="str" cm="1">
        <f t="array" ref="C6">_xlfn.IFS(OCD!D20="","OFF",OCD!D20="HC","C087",OCD!D20="M","C510",OCD!D20="E","C519",OCD!D20="C9","C678", TRUE,"")</f>
        <v>OFF</v>
      </c>
      <c r="D6" s="140" t="str" cm="1">
        <f t="array" ref="D6">_xlfn.IFS(OCD!E20="","OFF",OCD!E20="HC","C087",OCD!E20="M","C510",OCD!E20="E","C519",OCD!E20="C9","C678", TRUE,"")</f>
        <v>OFF</v>
      </c>
      <c r="E6" s="140" t="str" cm="1">
        <f t="array" ref="E6">_xlfn.IFS(OCD!F20="","OFF",OCD!F20="HC","C087",OCD!F20="M","C510",OCD!F20="E","C519",OCD!F20="C9","C678", TRUE,"")</f>
        <v>C510</v>
      </c>
      <c r="F6" s="140" t="str" cm="1">
        <f t="array" ref="F6">_xlfn.IFS(OCD!G20="","OFF",OCD!G20="HC","C087",OCD!G20="M","C510",OCD!G20="E","C519",OCD!G20="C9","C678", TRUE,"")</f>
        <v>C510</v>
      </c>
      <c r="G6" s="140" t="str" cm="1">
        <f t="array" ref="G6">_xlfn.IFS(OCD!H20="","OFF",OCD!H20="HC","C087",OCD!H20="M","C510",OCD!H20="E","C519",OCD!H20="C9","C678", TRUE,"")</f>
        <v>C519</v>
      </c>
      <c r="H6" s="140" t="str" cm="1">
        <f t="array" ref="H6">_xlfn.IFS(OCD!I20="","OFF",OCD!I20="HC","C087",OCD!I20="M","C510",OCD!I20="E","C519",OCD!I20="C9","C678", TRUE,"")</f>
        <v>OFF</v>
      </c>
      <c r="I6" s="140" t="str" cm="1">
        <f t="array" ref="I6">_xlfn.IFS(OCD!J20="","OFF",OCD!J20="HC","C087",OCD!J20="M","C510",OCD!J20="E","C519",OCD!J20="C9","C678", TRUE,"")</f>
        <v>C510</v>
      </c>
      <c r="J6" s="140" t="str" cm="1">
        <f t="array" ref="J6">_xlfn.IFS(OCD!K20="","OFF",OCD!K20="HC","C087",OCD!K20="M","C510",OCD!K20="E","C519",OCD!K20="C9","C678", TRUE,"")</f>
        <v>OFF</v>
      </c>
      <c r="K6" s="140" t="str" cm="1">
        <f t="array" ref="K6">_xlfn.IFS(OCD!L20="","OFF",OCD!L20="HC","C087",OCD!L20="M","C510",OCD!L20="E","C519",OCD!L20="C9","C678", TRUE,"")</f>
        <v>C510</v>
      </c>
      <c r="L6" s="140" t="str" cm="1">
        <f t="array" ref="L6">_xlfn.IFS(OCD!M20="","OFF",OCD!M20="HC","C087",OCD!M20="M","C510",OCD!M20="E","C519",OCD!M20="C9","C678", TRUE,"")</f>
        <v>C510</v>
      </c>
      <c r="M6" s="140" t="str" cm="1">
        <f t="array" ref="M6">_xlfn.IFS(OCD!N20="","OFF",OCD!N20="HC","C087",OCD!N20="M","C510",OCD!N20="E","C519",OCD!N20="C9","C678", TRUE,"")</f>
        <v>C519</v>
      </c>
      <c r="N6" s="140" t="str" cm="1">
        <f t="array" ref="N6">_xlfn.IFS(OCD!O20="","OFF",OCD!O20="HC","C087",OCD!O20="M","C510",OCD!O20="E","C519",OCD!O20="C9","C678", TRUE,"")</f>
        <v>OFF</v>
      </c>
      <c r="O6" s="140" t="str" cm="1">
        <f t="array" ref="O6">_xlfn.IFS(OCD!P20="","OFF",OCD!P20="HC","C087",OCD!P20="M","C510",OCD!P20="E","C519",OCD!P20="C9","C678", TRUE,"")</f>
        <v>C510</v>
      </c>
      <c r="P6" s="140" t="str" cm="1">
        <f t="array" ref="P6">_xlfn.IFS(OCD!Q20="","OFF",OCD!Q20="HC","C087",OCD!Q20="M","C510",OCD!Q20="E","C519",OCD!Q20="C9","C678", TRUE,"")</f>
        <v>C519</v>
      </c>
      <c r="Q6" s="140" t="str" cm="1">
        <f t="array" ref="Q6">_xlfn.IFS(OCD!R20="","OFF",OCD!R20="HC","C087",OCD!R20="M","C510",OCD!R20="E","C519",OCD!R20="C9","C678", TRUE,"")</f>
        <v>OFF</v>
      </c>
      <c r="R6" s="140" t="str" cm="1">
        <f t="array" ref="R6">_xlfn.IFS(OCD!S20="","OFF",OCD!S20="HC","C087",OCD!S20="M","C510",OCD!S20="E","C519",OCD!S20="C9","C678", TRUE,"")</f>
        <v>OFF</v>
      </c>
      <c r="S6" s="140" t="str" cm="1">
        <f t="array" ref="S6">_xlfn.IFS(OCD!T20="","OFF",OCD!T20="HC","C087",OCD!T20="M","C510",OCD!T20="E","C519",OCD!T20="C9","C678", TRUE,"")</f>
        <v>C510</v>
      </c>
      <c r="T6" s="140" t="str" cm="1">
        <f t="array" ref="T6">_xlfn.IFS(OCD!U20="","OFF",OCD!U20="HC","C087",OCD!U20="M","C510",OCD!U20="E","C519",OCD!U20="C9","C678", TRUE,"")</f>
        <v>C519</v>
      </c>
      <c r="U6" s="140" t="str" cm="1">
        <f t="array" ref="U6">_xlfn.IFS(OCD!V20="","OFF",OCD!V20="HC","C087",OCD!V20="M","C510",OCD!V20="E","C519",OCD!V20="C9","C678", TRUE,"")</f>
        <v>C519</v>
      </c>
      <c r="V6" s="140" t="str" cm="1">
        <f t="array" ref="V6">_xlfn.IFS(OCD!W20="","OFF",OCD!W20="HC","C087",OCD!W20="M","C510",OCD!W20="E","C519",OCD!W20="C9","C678", TRUE,"")</f>
        <v>OFF</v>
      </c>
      <c r="W6" s="140" t="str" cm="1">
        <f t="array" ref="W6">_xlfn.IFS(OCD!X20="","OFF",OCD!X20="HC","C087",OCD!X20="M","C510",OCD!X20="E","C519",OCD!X20="C9","C678", TRUE,"")</f>
        <v>C510</v>
      </c>
      <c r="X6" s="140" t="str" cm="1">
        <f t="array" ref="X6">_xlfn.IFS(OCD!Y20="","OFF",OCD!Y20="HC","C087",OCD!Y20="M","C510",OCD!Y20="E","C519",OCD!Y20="C9","C678", TRUE,"")</f>
        <v>C510</v>
      </c>
      <c r="Y6" s="140" t="str" cm="1">
        <f t="array" ref="Y6">_xlfn.IFS(OCD!Z20="","OFF",OCD!Z20="HC","C087",OCD!Z20="M","C510",OCD!Z20="E","C519",OCD!Z20="C9","C678", TRUE,"")</f>
        <v>OFF</v>
      </c>
      <c r="Z6" s="140" t="str" cm="1">
        <f t="array" ref="Z6">_xlfn.IFS(OCD!AA20="","OFF",OCD!AA20="HC","C087",OCD!AA20="M","C510",OCD!AA20="E","C519",OCD!AA20="C9","C678", TRUE,"")</f>
        <v>OFF</v>
      </c>
      <c r="AA6" s="140" t="str" cm="1">
        <f t="array" ref="AA6">_xlfn.IFS(OCD!AB20="","OFF",OCD!AB20="HC","C087",OCD!AB20="M","C510",OCD!AB20="E","C519",OCD!AB20="C9","C678", TRUE,"")</f>
        <v>OFF</v>
      </c>
      <c r="AB6" s="140" t="str" cm="1">
        <f t="array" ref="AB6">_xlfn.IFS(OCD!AC20="","OFF",OCD!AC20="HC","C087",OCD!AC20="M","C510",OCD!AC20="E","C519",OCD!AC20="C9","C678", TRUE,"")</f>
        <v>OFF</v>
      </c>
      <c r="AC6" s="140" t="str" cm="1">
        <f t="array" ref="AC6">_xlfn.IFS(OCD!AD20="","OFF",OCD!AD20="HC","C087",OCD!AD20="M","C510",OCD!AD20="E","C519",OCD!AD20="C9","C678", TRUE,"")</f>
        <v>C519</v>
      </c>
      <c r="AD6" s="140" t="str" cm="1">
        <f t="array" ref="AD6">_xlfn.IFS(OCD!AE20="","OFF",OCD!AE20="HC","C087",OCD!AE20="M","C510",OCD!AE20="E","C519",OCD!AE20="C9","C678", TRUE,"")</f>
        <v>OFF</v>
      </c>
      <c r="AE6" s="140" t="str" cm="1">
        <f t="array" ref="AE6">_xlfn.IFS(OCD!AF20="","OFF",OCD!AF20="HC","C087",OCD!AF20="M","C510",OCD!AF20="E","C519",OCD!AF20="C9","C678", TRUE,"")</f>
        <v>C510</v>
      </c>
      <c r="AF6" s="140" t="str" cm="1">
        <f t="array" ref="AF6">_xlfn.IFS(OCD!AG20="","OFF",OCD!AG20="HC","C087",OCD!AG20="M","C510",OCD!AG20="E","C519",OCD!AG20="C9","C678", TRUE,"")</f>
        <v>C519</v>
      </c>
      <c r="AG6" s="140" t="str" cm="1">
        <f t="array" ref="AG6">_xlfn.IFS(OCD!AH20="","OFF",OCD!AH20="HC","C087",OCD!AH20="M","C510",OCD!AH20="E","C519",OCD!AH20="C9","C678", TRUE,"")</f>
        <v>OFF</v>
      </c>
    </row>
    <row r="7" spans="1:33" x14ac:dyDescent="0.25">
      <c r="A7" s="138" t="s">
        <v>1602</v>
      </c>
      <c r="B7" s="139" t="s">
        <v>89</v>
      </c>
      <c r="C7" s="140" t="str" cm="1">
        <f t="array" ref="C7">_xlfn.IFS(OCD!D16="","OFF",OCD!D16="HC","C087",OCD!D16="M","C510",OCD!D16="E","C519",OCD!D16="C9","C678", TRUE,"")</f>
        <v>OFF</v>
      </c>
      <c r="D7" s="140" t="str" cm="1">
        <f t="array" ref="D7">_xlfn.IFS(OCD!E16="","OFF",OCD!E16="HC","C087",OCD!E16="M","C510",OCD!E16="E","C519",OCD!E16="C9","C678", TRUE,"")</f>
        <v>C087</v>
      </c>
      <c r="E7" s="140" t="str" cm="1">
        <f t="array" ref="E7">_xlfn.IFS(OCD!F16="","OFF",OCD!F16="HC","C087",OCD!F16="M","C510",OCD!F16="E","C519",OCD!F16="C9","C678", TRUE,"")</f>
        <v>C510</v>
      </c>
      <c r="F7" s="140" t="str" cm="1">
        <f t="array" ref="F7">_xlfn.IFS(OCD!G16="","OFF",OCD!G16="HC","C087",OCD!G16="M","C510",OCD!G16="E","C519",OCD!G16="C9","C678", TRUE,"")</f>
        <v>OFF</v>
      </c>
      <c r="G7" s="140" t="str" cm="1">
        <f t="array" ref="G7">_xlfn.IFS(OCD!H16="","OFF",OCD!H16="HC","C087",OCD!H16="M","C510",OCD!H16="E","C519",OCD!H16="C9","C678", TRUE,"")</f>
        <v>C087</v>
      </c>
      <c r="H7" s="140" t="str" cm="1">
        <f t="array" ref="H7">_xlfn.IFS(OCD!I16="","OFF",OCD!I16="HC","C087",OCD!I16="M","C510",OCD!I16="E","C519",OCD!I16="C9","C678", TRUE,"")</f>
        <v>OFF</v>
      </c>
      <c r="I7" s="140" t="str" cm="1">
        <f t="array" ref="I7">_xlfn.IFS(OCD!J16="","OFF",OCD!J16="HC","C087",OCD!J16="M","C510",OCD!J16="E","C519",OCD!J16="C9","C678", TRUE,"")</f>
        <v>OFF</v>
      </c>
      <c r="J7" s="140" t="str" cm="1">
        <f t="array" ref="J7">_xlfn.IFS(OCD!K16="","OFF",OCD!K16="HC","C087",OCD!K16="M","C510",OCD!K16="E","C519",OCD!K16="C9","C678", TRUE,"")</f>
        <v>OFF</v>
      </c>
      <c r="K7" s="140" t="str" cm="1">
        <f t="array" ref="K7">_xlfn.IFS(OCD!L16="","OFF",OCD!L16="HC","C087",OCD!L16="M","C510",OCD!L16="E","C519",OCD!L16="C9","C678", TRUE,"")</f>
        <v>OFF</v>
      </c>
      <c r="L7" s="140" t="str" cm="1">
        <f t="array" ref="L7">_xlfn.IFS(OCD!M16="","OFF",OCD!M16="HC","C087",OCD!M16="M","C510",OCD!M16="E","C519",OCD!M16="C9","C678", TRUE,"")</f>
        <v>OFF</v>
      </c>
      <c r="M7" s="140" t="str" cm="1">
        <f t="array" ref="M7">_xlfn.IFS(OCD!N16="","OFF",OCD!N16="HC","C087",OCD!N16="M","C510",OCD!N16="E","C519",OCD!N16="C9","C678", TRUE,"")</f>
        <v>C510</v>
      </c>
      <c r="N7" s="140" t="str" cm="1">
        <f t="array" ref="N7">_xlfn.IFS(OCD!O16="","OFF",OCD!O16="HC","C087",OCD!O16="M","C510",OCD!O16="E","C519",OCD!O16="C9","C678", TRUE,"")</f>
        <v>OFF</v>
      </c>
      <c r="O7" s="140" t="str" cm="1">
        <f t="array" ref="O7">_xlfn.IFS(OCD!P16="","OFF",OCD!P16="HC","C087",OCD!P16="M","C510",OCD!P16="E","C519",OCD!P16="C9","C678", TRUE,"")</f>
        <v>C510</v>
      </c>
      <c r="P7" s="140" t="str" cm="1">
        <f t="array" ref="P7">_xlfn.IFS(OCD!Q16="","OFF",OCD!Q16="HC","C087",OCD!Q16="M","C510",OCD!Q16="E","C519",OCD!Q16="C9","C678", TRUE,"")</f>
        <v>OFF</v>
      </c>
      <c r="Q7" s="140" t="str" cm="1">
        <f t="array" ref="Q7">_xlfn.IFS(OCD!R16="","OFF",OCD!R16="HC","C087",OCD!R16="M","C510",OCD!R16="E","C519",OCD!R16="C9","C678", TRUE,"")</f>
        <v>OFF</v>
      </c>
      <c r="R7" s="140" t="str" cm="1">
        <f t="array" ref="R7">_xlfn.IFS(OCD!S16="","OFF",OCD!S16="HC","C087",OCD!S16="M","C510",OCD!S16="E","C519",OCD!S16="C9","C678", TRUE,"")</f>
        <v>C087</v>
      </c>
      <c r="S7" s="140" t="str" cm="1">
        <f t="array" ref="S7">_xlfn.IFS(OCD!T16="","OFF",OCD!T16="HC","C087",OCD!T16="M","C510",OCD!T16="E","C519",OCD!T16="C9","C678", TRUE,"")</f>
        <v>C510</v>
      </c>
      <c r="T7" s="140" t="str" cm="1">
        <f t="array" ref="T7">_xlfn.IFS(OCD!U16="","OFF",OCD!U16="HC","C087",OCD!U16="M","C510",OCD!U16="E","C519",OCD!U16="C9","C678", TRUE,"")</f>
        <v>OFF</v>
      </c>
      <c r="U7" s="140" t="str" cm="1">
        <f t="array" ref="U7">_xlfn.IFS(OCD!V16="","OFF",OCD!V16="HC","C087",OCD!V16="M","C510",OCD!V16="E","C519",OCD!V16="C9","C678", TRUE,"")</f>
        <v>OFF</v>
      </c>
      <c r="V7" s="140" t="str" cm="1">
        <f t="array" ref="V7">_xlfn.IFS(OCD!W16="","OFF",OCD!W16="HC","C087",OCD!W16="M","C510",OCD!W16="E","C519",OCD!W16="C9","C678", TRUE,"")</f>
        <v>C510</v>
      </c>
      <c r="W7" s="140" t="str" cm="1">
        <f t="array" ref="W7">_xlfn.IFS(OCD!X16="","OFF",OCD!X16="HC","C087",OCD!X16="M","C510",OCD!X16="E","C519",OCD!X16="C9","C678", TRUE,"")</f>
        <v>OFF</v>
      </c>
      <c r="X7" s="140" t="str" cm="1">
        <f t="array" ref="X7">_xlfn.IFS(OCD!Y16="","OFF",OCD!Y16="HC","C087",OCD!Y16="M","C510",OCD!Y16="E","C519",OCD!Y16="C9","C678", TRUE,"")</f>
        <v>OFF</v>
      </c>
      <c r="Y7" s="140" t="str" cm="1">
        <f t="array" ref="Y7">_xlfn.IFS(OCD!Z16="","OFF",OCD!Z16="HC","C087",OCD!Z16="M","C510",OCD!Z16="E","C519",OCD!Z16="C9","C678", TRUE,"")</f>
        <v>C087</v>
      </c>
      <c r="Z7" s="140" t="str" cm="1">
        <f t="array" ref="Z7">_xlfn.IFS(OCD!AA16="","OFF",OCD!AA16="HC","C087",OCD!AA16="M","C510",OCD!AA16="E","C519",OCD!AA16="C9","C678", TRUE,"")</f>
        <v>C510</v>
      </c>
      <c r="AA7" s="140" t="str" cm="1">
        <f t="array" ref="AA7">_xlfn.IFS(OCD!AB16="","OFF",OCD!AB16="HC","C087",OCD!AB16="M","C510",OCD!AB16="E","C519",OCD!AB16="C9","C678", TRUE,"")</f>
        <v>OFF</v>
      </c>
      <c r="AB7" s="140" t="str" cm="1">
        <f t="array" ref="AB7">_xlfn.IFS(OCD!AC16="","OFF",OCD!AC16="HC","C087",OCD!AC16="M","C510",OCD!AC16="E","C519",OCD!AC16="C9","C678", TRUE,"")</f>
        <v>OFF</v>
      </c>
      <c r="AC7" s="140" t="str" cm="1">
        <f t="array" ref="AC7">_xlfn.IFS(OCD!AD16="","OFF",OCD!AD16="HC","C087",OCD!AD16="M","C510",OCD!AD16="E","C519",OCD!AD16="C9","C678", TRUE,"")</f>
        <v>C510</v>
      </c>
      <c r="AD7" s="140" t="str" cm="1">
        <f t="array" ref="AD7">_xlfn.IFS(OCD!AE16="","OFF",OCD!AE16="HC","C087",OCD!AE16="M","C510",OCD!AE16="E","C519",OCD!AE16="C9","C678", TRUE,"")</f>
        <v>OFF</v>
      </c>
      <c r="AE7" s="140" t="str" cm="1">
        <f t="array" ref="AE7">_xlfn.IFS(OCD!AF16="","OFF",OCD!AF16="HC","C087",OCD!AF16="M","C510",OCD!AF16="E","C519",OCD!AF16="C9","C678", TRUE,"")</f>
        <v>OFF</v>
      </c>
      <c r="AF7" s="140" t="str" cm="1">
        <f t="array" ref="AF7">_xlfn.IFS(OCD!AG16="","OFF",OCD!AG16="HC","C087",OCD!AG16="M","C510",OCD!AG16="E","C519",OCD!AG16="C9","C678", TRUE,"")</f>
        <v>C087</v>
      </c>
      <c r="AG7" s="140" t="str" cm="1">
        <f t="array" ref="AG7">_xlfn.IFS(OCD!AH16="","OFF",OCD!AH16="HC","C087",OCD!AH16="M","C510",OCD!AH16="E","C519",OCD!AH16="C9","C678", TRUE,"")</f>
        <v>C510</v>
      </c>
    </row>
    <row r="8" spans="1:33" x14ac:dyDescent="0.25">
      <c r="A8" s="138" t="s">
        <v>40</v>
      </c>
      <c r="B8" s="139" t="s">
        <v>41</v>
      </c>
      <c r="C8" s="140" t="str" cm="1">
        <f t="array" ref="C8">_xlfn.IFS(OCD!D17="","OFF",OCD!D17="HC","C087",OCD!D17="M","C510",OCD!D17="E","C519",OCD!D17="C9","C678", TRUE,"")</f>
        <v>OFF</v>
      </c>
      <c r="D8" s="140" t="str" cm="1">
        <f t="array" ref="D8">_xlfn.IFS(OCD!E17="","OFF",OCD!E17="HC","C087",OCD!E17="M","C510",OCD!E17="E","C519",OCD!E17="C9","C678", TRUE,"")</f>
        <v>C510</v>
      </c>
      <c r="E8" s="140" t="str" cm="1">
        <f t="array" ref="E8">_xlfn.IFS(OCD!F17="","OFF",OCD!F17="HC","C087",OCD!F17="M","C510",OCD!F17="E","C519",OCD!F17="C9","C678", TRUE,"")</f>
        <v>C510</v>
      </c>
      <c r="F8" s="140" t="str" cm="1">
        <f t="array" ref="F8">_xlfn.IFS(OCD!G17="","OFF",OCD!G17="HC","C087",OCD!G17="M","C510",OCD!G17="E","C519",OCD!G17="C9","C678", TRUE,"")</f>
        <v>C519</v>
      </c>
      <c r="G8" s="140" t="str" cm="1">
        <f t="array" ref="G8">_xlfn.IFS(OCD!H17="","OFF",OCD!H17="HC","C087",OCD!H17="M","C510",OCD!H17="E","C519",OCD!H17="C9","C678", TRUE,"")</f>
        <v>OFF</v>
      </c>
      <c r="H8" s="140" t="str" cm="1">
        <f t="array" ref="H8">_xlfn.IFS(OCD!I17="","OFF",OCD!I17="HC","C087",OCD!I17="M","C510",OCD!I17="E","C519",OCD!I17="C9","C678", TRUE,"")</f>
        <v>C510</v>
      </c>
      <c r="I8" s="140" t="str" cm="1">
        <f t="array" ref="I8">_xlfn.IFS(OCD!J17="","OFF",OCD!J17="HC","C087",OCD!J17="M","C510",OCD!J17="E","C519",OCD!J17="C9","C678", TRUE,"")</f>
        <v>OFF</v>
      </c>
      <c r="J8" s="140" t="str" cm="1">
        <f t="array" ref="J8">_xlfn.IFS(OCD!K17="","OFF",OCD!K17="HC","C087",OCD!K17="M","C510",OCD!K17="E","C519",OCD!K17="C9","C678", TRUE,"")</f>
        <v>OFF</v>
      </c>
      <c r="K8" s="140" t="str" cm="1">
        <f t="array" ref="K8">_xlfn.IFS(OCD!L17="","OFF",OCD!L17="HC","C087",OCD!L17="M","C510",OCD!L17="E","C519",OCD!L17="C9","C678", TRUE,"")</f>
        <v>C519</v>
      </c>
      <c r="L8" s="140" t="str" cm="1">
        <f t="array" ref="L8">_xlfn.IFS(OCD!M17="","OFF",OCD!M17="HC","C087",OCD!M17="M","C510",OCD!M17="E","C519",OCD!M17="C9","C678", TRUE,"")</f>
        <v>C519</v>
      </c>
      <c r="M8" s="140" t="str" cm="1">
        <f t="array" ref="M8">_xlfn.IFS(OCD!N17="","OFF",OCD!N17="HC","C087",OCD!N17="M","C510",OCD!N17="E","C519",OCD!N17="C9","C678", TRUE,"")</f>
        <v>OFF</v>
      </c>
      <c r="N8" s="140" t="str" cm="1">
        <f t="array" ref="N8">_xlfn.IFS(OCD!O17="","OFF",OCD!O17="HC","C087",OCD!O17="M","C510",OCD!O17="E","C519",OCD!O17="C9","C678", TRUE,"")</f>
        <v>C510</v>
      </c>
      <c r="O8" s="140" t="str" cm="1">
        <f t="array" ref="O8">_xlfn.IFS(OCD!P17="","OFF",OCD!P17="HC","C087",OCD!P17="M","C510",OCD!P17="E","C519",OCD!P17="C9","C678", TRUE,"")</f>
        <v>C519</v>
      </c>
      <c r="P8" s="140" t="str" cm="1">
        <f t="array" ref="P8">_xlfn.IFS(OCD!Q17="","OFF",OCD!Q17="HC","C087",OCD!Q17="M","C510",OCD!Q17="E","C519",OCD!Q17="C9","C678", TRUE,"")</f>
        <v>OFF</v>
      </c>
      <c r="Q8" s="140" t="str" cm="1">
        <f t="array" ref="Q8">_xlfn.IFS(OCD!R17="","OFF",OCD!R17="HC","C087",OCD!R17="M","C510",OCD!R17="E","C519",OCD!R17="C9","C678", TRUE,"")</f>
        <v>C510</v>
      </c>
      <c r="R8" s="140" t="str" cm="1">
        <f t="array" ref="R8">_xlfn.IFS(OCD!S17="","OFF",OCD!S17="HC","C087",OCD!S17="M","C510",OCD!S17="E","C519",OCD!S17="C9","C678", TRUE,"")</f>
        <v>C519</v>
      </c>
      <c r="S8" s="140" t="str" cm="1">
        <f t="array" ref="S8">_xlfn.IFS(OCD!T17="","OFF",OCD!T17="HC","C087",OCD!T17="M","C510",OCD!T17="E","C519",OCD!T17="C9","C678", TRUE,"")</f>
        <v>C519</v>
      </c>
      <c r="T8" s="140" t="str" cm="1">
        <f t="array" ref="T8">_xlfn.IFS(OCD!U17="","OFF",OCD!U17="HC","C087",OCD!U17="M","C510",OCD!U17="E","C519",OCD!U17="C9","C678", TRUE,"")</f>
        <v>OFF</v>
      </c>
      <c r="U8" s="140" t="str" cm="1">
        <f t="array" ref="U8">_xlfn.IFS(OCD!V17="","OFF",OCD!V17="HC","C087",OCD!V17="M","C510",OCD!V17="E","C519",OCD!V17="C9","C678", TRUE,"")</f>
        <v>C510</v>
      </c>
      <c r="V8" s="140" t="str" cm="1">
        <f t="array" ref="V8">_xlfn.IFS(OCD!W17="","OFF",OCD!W17="HC","C087",OCD!W17="M","C510",OCD!W17="E","C519",OCD!W17="C9","C678", TRUE,"")</f>
        <v>C519</v>
      </c>
      <c r="W8" s="140" t="str" cm="1">
        <f t="array" ref="W8">_xlfn.IFS(OCD!X17="","OFF",OCD!X17="HC","C087",OCD!X17="M","C510",OCD!X17="E","C519",OCD!X17="C9","C678", TRUE,"")</f>
        <v>OFF</v>
      </c>
      <c r="X8" s="140" t="str" cm="1">
        <f t="array" ref="X8">_xlfn.IFS(OCD!Y17="","OFF",OCD!Y17="HC","C087",OCD!Y17="M","C510",OCD!Y17="E","C519",OCD!Y17="C9","C678", TRUE,"")</f>
        <v>C519</v>
      </c>
      <c r="Y8" s="140" t="str" cm="1">
        <f t="array" ref="Y8">_xlfn.IFS(OCD!Z17="","OFF",OCD!Z17="HC","C087",OCD!Z17="M","C510",OCD!Z17="E","C519",OCD!Z17="C9","C678", TRUE,"")</f>
        <v>C519</v>
      </c>
      <c r="Z8" s="140" t="str" cm="1">
        <f t="array" ref="Z8">_xlfn.IFS(OCD!AA17="","OFF",OCD!AA17="HC","C087",OCD!AA17="M","C510",OCD!AA17="E","C519",OCD!AA17="C9","C678", TRUE,"")</f>
        <v>OFF</v>
      </c>
      <c r="AA8" s="140" t="str" cm="1">
        <f t="array" ref="AA8">_xlfn.IFS(OCD!AB17="","OFF",OCD!AB17="HC","C087",OCD!AB17="M","C510",OCD!AB17="E","C519",OCD!AB17="C9","C678", TRUE,"")</f>
        <v>C510</v>
      </c>
      <c r="AB8" s="140" t="str" cm="1">
        <f t="array" ref="AB8">_xlfn.IFS(OCD!AC17="","OFF",OCD!AC17="HC","C087",OCD!AC17="M","C510",OCD!AC17="E","C519",OCD!AC17="C9","C678", TRUE,"")</f>
        <v>OFF</v>
      </c>
      <c r="AC8" s="140" t="str" cm="1">
        <f t="array" ref="AC8">_xlfn.IFS(OCD!AD17="","OFF",OCD!AD17="HC","C087",OCD!AD17="M","C510",OCD!AD17="E","C519",OCD!AD17="C9","C678", TRUE,"")</f>
        <v>OFF</v>
      </c>
      <c r="AD8" s="140" t="str" cm="1">
        <f t="array" ref="AD8">_xlfn.IFS(OCD!AE17="","OFF",OCD!AE17="HC","C087",OCD!AE17="M","C510",OCD!AE17="E","C519",OCD!AE17="C9","C678", TRUE,"")</f>
        <v>OFF</v>
      </c>
      <c r="AE8" s="140" t="str" cm="1">
        <f t="array" ref="AE8">_xlfn.IFS(OCD!AF17="","OFF",OCD!AF17="HC","C087",OCD!AF17="M","C510",OCD!AF17="E","C519",OCD!AF17="C9","C678", TRUE,"")</f>
        <v>OFF</v>
      </c>
      <c r="AF8" s="140" t="str" cm="1">
        <f t="array" ref="AF8">_xlfn.IFS(OCD!AG17="","OFF",OCD!AG17="HC","C087",OCD!AG17="M","C510",OCD!AG17="E","C519",OCD!AG17="C9","C678", TRUE,"")</f>
        <v>C519</v>
      </c>
      <c r="AG8" s="140" t="str" cm="1">
        <f t="array" ref="AG8">_xlfn.IFS(OCD!AH17="","OFF",OCD!AH17="HC","C087",OCD!AH17="M","C510",OCD!AH17="E","C519",OCD!AH17="C9","C678", TRUE,"")</f>
        <v>OFF</v>
      </c>
    </row>
    <row r="9" spans="1:33" x14ac:dyDescent="0.25">
      <c r="A9" s="138" t="s">
        <v>42</v>
      </c>
      <c r="B9" s="139" t="s">
        <v>43</v>
      </c>
      <c r="C9" s="140" t="str" cm="1">
        <f t="array" ref="C9">_xlfn.IFS(OCD!D18="","OFF",OCD!D18="HC","C087",OCD!D18="M","C510",OCD!D18="E","C519",OCD!D18="C9","C678", TRUE,"")</f>
        <v>C510</v>
      </c>
      <c r="D9" s="140" t="str" cm="1">
        <f t="array" ref="D9">_xlfn.IFS(OCD!E18="","OFF",OCD!E18="HC","C087",OCD!E18="M","C510",OCD!E18="E","C519",OCD!E18="C9","C678", TRUE,"")</f>
        <v>C519</v>
      </c>
      <c r="E9" s="140" t="str" cm="1">
        <f t="array" ref="E9">_xlfn.IFS(OCD!F18="","OFF",OCD!F18="HC","C087",OCD!F18="M","C510",OCD!F18="E","C519",OCD!F18="C9","C678", TRUE,"")</f>
        <v>OFF</v>
      </c>
      <c r="F9" s="140" t="str" cm="1">
        <f t="array" ref="F9">_xlfn.IFS(OCD!G18="","OFF",OCD!G18="HC","C087",OCD!G18="M","C510",OCD!G18="E","C519",OCD!G18="C9","C678", TRUE,"")</f>
        <v>OFF</v>
      </c>
      <c r="G9" s="140" t="str" cm="1">
        <f t="array" ref="G9">_xlfn.IFS(OCD!H18="","OFF",OCD!H18="HC","C087",OCD!H18="M","C510",OCD!H18="E","C519",OCD!H18="C9","C678", TRUE,"")</f>
        <v>OFF</v>
      </c>
      <c r="H9" s="140" t="str" cm="1">
        <f t="array" ref="H9">_xlfn.IFS(OCD!I18="","OFF",OCD!I18="HC","C087",OCD!I18="M","C510",OCD!I18="E","C519",OCD!I18="C9","C678", TRUE,"")</f>
        <v>C510</v>
      </c>
      <c r="I9" s="140" t="str" cm="1">
        <f t="array" ref="I9">_xlfn.IFS(OCD!J18="","OFF",OCD!J18="HC","C087",OCD!J18="M","C510",OCD!J18="E","C519",OCD!J18="C9","C678", TRUE,"")</f>
        <v>C519</v>
      </c>
      <c r="J9" s="140" t="str" cm="1">
        <f t="array" ref="J9">_xlfn.IFS(OCD!K18="","OFF",OCD!K18="HC","C087",OCD!K18="M","C510",OCD!K18="E","C519",OCD!K18="C9","C678", TRUE,"")</f>
        <v>C519</v>
      </c>
      <c r="K9" s="140" t="str" cm="1">
        <f t="array" ref="K9">_xlfn.IFS(OCD!L18="","OFF",OCD!L18="HC","C087",OCD!L18="M","C510",OCD!L18="E","C519",OCD!L18="C9","C678", TRUE,"")</f>
        <v>OFF</v>
      </c>
      <c r="L9" s="140" t="str" cm="1">
        <f t="array" ref="L9">_xlfn.IFS(OCD!M18="","OFF",OCD!M18="HC","C087",OCD!M18="M","C510",OCD!M18="E","C519",OCD!M18="C9","C678", TRUE,"")</f>
        <v>OFF</v>
      </c>
      <c r="M9" s="140" t="str" cm="1">
        <f t="array" ref="M9">_xlfn.IFS(OCD!N18="","OFF",OCD!N18="HC","C087",OCD!N18="M","C510",OCD!N18="E","C519",OCD!N18="C9","C678", TRUE,"")</f>
        <v>C510</v>
      </c>
      <c r="N9" s="140" t="str" cm="1">
        <f t="array" ref="N9">_xlfn.IFS(OCD!O18="","OFF",OCD!O18="HC","C087",OCD!O18="M","C510",OCD!O18="E","C519",OCD!O18="C9","C678", TRUE,"")</f>
        <v>C519</v>
      </c>
      <c r="O9" s="140" t="str" cm="1">
        <f t="array" ref="O9">_xlfn.IFS(OCD!P18="","OFF",OCD!P18="HC","C087",OCD!P18="M","C510",OCD!P18="E","C519",OCD!P18="C9","C678", TRUE,"")</f>
        <v>OFF</v>
      </c>
      <c r="P9" s="140" t="str" cm="1">
        <f t="array" ref="P9">_xlfn.IFS(OCD!Q18="","OFF",OCD!Q18="HC","C087",OCD!Q18="M","C510",OCD!Q18="E","C519",OCD!Q18="C9","C678", TRUE,"")</f>
        <v>OFF</v>
      </c>
      <c r="Q9" s="140" t="str" cm="1">
        <f t="array" ref="Q9">_xlfn.IFS(OCD!R18="","OFF",OCD!R18="HC","C087",OCD!R18="M","C510",OCD!R18="E","C519",OCD!R18="C9","C678", TRUE,"")</f>
        <v>OFF</v>
      </c>
      <c r="R9" s="140" t="str" cm="1">
        <f t="array" ref="R9">_xlfn.IFS(OCD!S18="","OFF",OCD!S18="HC","C087",OCD!S18="M","C510",OCD!S18="E","C519",OCD!S18="C9","C678", TRUE,"")</f>
        <v>C510</v>
      </c>
      <c r="S9" s="140" t="str" cm="1">
        <f t="array" ref="S9">_xlfn.IFS(OCD!T18="","OFF",OCD!T18="HC","C087",OCD!T18="M","C510",OCD!T18="E","C519",OCD!T18="C9","C678", TRUE,"")</f>
        <v>C519</v>
      </c>
      <c r="T9" s="140" t="str" cm="1">
        <f t="array" ref="T9">_xlfn.IFS(OCD!U18="","OFF",OCD!U18="HC","C087",OCD!U18="M","C510",OCD!U18="E","C519",OCD!U18="C9","C678", TRUE,"")</f>
        <v>OFF</v>
      </c>
      <c r="U9" s="140" t="str" cm="1">
        <f t="array" ref="U9">_xlfn.IFS(OCD!V18="","OFF",OCD!V18="HC","C087",OCD!V18="M","C510",OCD!V18="E","C519",OCD!V18="C9","C678", TRUE,"")</f>
        <v>C510</v>
      </c>
      <c r="V9" s="140" t="str" cm="1">
        <f t="array" ref="V9">_xlfn.IFS(OCD!W18="","OFF",OCD!W18="HC","C087",OCD!W18="M","C510",OCD!W18="E","C519",OCD!W18="C9","C678", TRUE,"")</f>
        <v>C510</v>
      </c>
      <c r="W9" s="140" t="str" cm="1">
        <f t="array" ref="W9">_xlfn.IFS(OCD!X18="","OFF",OCD!X18="HC","C087",OCD!X18="M","C510",OCD!X18="E","C519",OCD!X18="C9","C678", TRUE,"")</f>
        <v>OFF</v>
      </c>
      <c r="X9" s="140" t="str" cm="1">
        <f t="array" ref="X9">_xlfn.IFS(OCD!Y18="","OFF",OCD!Y18="HC","C087",OCD!Y18="M","C510",OCD!Y18="E","C519",OCD!Y18="C9","C678", TRUE,"")</f>
        <v>OFF</v>
      </c>
      <c r="Y9" s="140" t="str" cm="1">
        <f t="array" ref="Y9">_xlfn.IFS(OCD!Z18="","OFF",OCD!Z18="HC","C087",OCD!Z18="M","C510",OCD!Z18="E","C519",OCD!Z18="C9","C678", TRUE,"")</f>
        <v>OFF</v>
      </c>
      <c r="Z9" s="140" t="str" cm="1">
        <f t="array" ref="Z9">_xlfn.IFS(OCD!AA18="","OFF",OCD!AA18="HC","C087",OCD!AA18="M","C510",OCD!AA18="E","C519",OCD!AA18="C9","C678", TRUE,"")</f>
        <v>C510</v>
      </c>
      <c r="AA9" s="140" t="str" cm="1">
        <f t="array" ref="AA9">_xlfn.IFS(OCD!AB18="","OFF",OCD!AB18="HC","C087",OCD!AB18="M","C510",OCD!AB18="E","C519",OCD!AB18="C9","C678", TRUE,"")</f>
        <v>C519</v>
      </c>
      <c r="AB9" s="140" t="str" cm="1">
        <f t="array" ref="AB9">_xlfn.IFS(OCD!AC18="","OFF",OCD!AC18="HC","C087",OCD!AC18="M","C510",OCD!AC18="E","C519",OCD!AC18="C9","C678", TRUE,"")</f>
        <v>C519</v>
      </c>
      <c r="AC9" s="140" t="str" cm="1">
        <f t="array" ref="AC9">_xlfn.IFS(OCD!AD18="","OFF",OCD!AD18="HC","C087",OCD!AD18="M","C510",OCD!AD18="E","C519",OCD!AD18="C9","C678", TRUE,"")</f>
        <v>OFF</v>
      </c>
      <c r="AD9" s="140" t="str" cm="1">
        <f t="array" ref="AD9">_xlfn.IFS(OCD!AE18="","OFF",OCD!AE18="HC","C087",OCD!AE18="M","C510",OCD!AE18="E","C519",OCD!AE18="C9","C678", TRUE,"")</f>
        <v>C510</v>
      </c>
      <c r="AE9" s="140" t="str" cm="1">
        <f t="array" ref="AE9">_xlfn.IFS(OCD!AF18="","OFF",OCD!AF18="HC","C087",OCD!AF18="M","C510",OCD!AF18="E","C519",OCD!AF18="C9","C678", TRUE,"")</f>
        <v>C519</v>
      </c>
      <c r="AF9" s="140" t="str" cm="1">
        <f t="array" ref="AF9">_xlfn.IFS(OCD!AG18="","OFF",OCD!AG18="HC","C087",OCD!AG18="M","C510",OCD!AG18="E","C519",OCD!AG18="C9","C678", TRUE,"")</f>
        <v>OFF</v>
      </c>
      <c r="AG9" s="140" t="str" cm="1">
        <f t="array" ref="AG9">_xlfn.IFS(OCD!AH18="","OFF",OCD!AH18="HC","C087",OCD!AH18="M","C510",OCD!AH18="E","C519",OCD!AH18="C9","C678", TRUE,"")</f>
        <v>C510</v>
      </c>
    </row>
    <row r="10" spans="1:33" x14ac:dyDescent="0.25">
      <c r="A10" s="138" t="s">
        <v>44</v>
      </c>
      <c r="B10" s="139" t="s">
        <v>45</v>
      </c>
      <c r="C10" s="140" t="str" cm="1">
        <f t="array" ref="C10">_xlfn.IFS(OCD!D21="","OFF",OCD!D21="HC","C087",OCD!D21="M","C510",OCD!D21="E","C519",OCD!D21="C9","C678", TRUE,"")</f>
        <v>C519</v>
      </c>
      <c r="D10" s="140" t="str" cm="1">
        <f t="array" ref="D10">_xlfn.IFS(OCD!E21="","OFF",OCD!E21="HC","C087",OCD!E21="M","C510",OCD!E21="E","C519",OCD!E21="C9","C678", TRUE,"")</f>
        <v>C519</v>
      </c>
      <c r="E10" s="140" t="str" cm="1">
        <f t="array" ref="E10">_xlfn.IFS(OCD!F21="","OFF",OCD!F21="HC","C087",OCD!F21="M","C510",OCD!F21="E","C519",OCD!F21="C9","C678", TRUE,"")</f>
        <v>OFF</v>
      </c>
      <c r="F10" s="140" t="str" cm="1">
        <f t="array" ref="F10">_xlfn.IFS(OCD!G21="","OFF",OCD!G21="HC","C087",OCD!G21="M","C510",OCD!G21="E","C519",OCD!G21="C9","C678", TRUE,"")</f>
        <v>OFF</v>
      </c>
      <c r="G10" s="140" t="str" cm="1">
        <f t="array" ref="G10">_xlfn.IFS(OCD!H21="","OFF",OCD!H21="HC","C087",OCD!H21="M","C510",OCD!H21="E","C519",OCD!H21="C9","C678", TRUE,"")</f>
        <v>OFF</v>
      </c>
      <c r="H10" s="140" t="str" cm="1">
        <f t="array" ref="H10">_xlfn.IFS(OCD!I21="","OFF",OCD!I21="HC","C087",OCD!I21="M","C510",OCD!I21="E","C519",OCD!I21="C9","C678", TRUE,"")</f>
        <v>OFF</v>
      </c>
      <c r="I10" s="140" t="str" cm="1">
        <f t="array" ref="I10">_xlfn.IFS(OCD!J21="","OFF",OCD!J21="HC","C087",OCD!J21="M","C510",OCD!J21="E","C519",OCD!J21="C9","C678", TRUE,"")</f>
        <v>OFF</v>
      </c>
      <c r="J10" s="140" t="str" cm="1">
        <f t="array" ref="J10">_xlfn.IFS(OCD!K21="","OFF",OCD!K21="HC","C087",OCD!K21="M","C510",OCD!K21="E","C519",OCD!K21="C9","C678", TRUE,"")</f>
        <v>OFF</v>
      </c>
      <c r="K10" s="140" t="str" cm="1">
        <f t="array" ref="K10">_xlfn.IFS(OCD!L21="","OFF",OCD!L21="HC","C087",OCD!L21="M","C510",OCD!L21="E","C519",OCD!L21="C9","C678", TRUE,"")</f>
        <v>OFF</v>
      </c>
      <c r="L10" s="140" t="str" cm="1">
        <f t="array" ref="L10">_xlfn.IFS(OCD!M21="","OFF",OCD!M21="HC","C087",OCD!M21="M","C510",OCD!M21="E","C519",OCD!M21="C9","C678", TRUE,"")</f>
        <v>OFF</v>
      </c>
      <c r="M10" s="140" t="str" cm="1">
        <f t="array" ref="M10">_xlfn.IFS(OCD!N21="","OFF",OCD!N21="HC","C087",OCD!N21="M","C510",OCD!N21="E","C519",OCD!N21="C9","C678", TRUE,"")</f>
        <v>OFF</v>
      </c>
      <c r="N10" s="140" t="str" cm="1">
        <f t="array" ref="N10">_xlfn.IFS(OCD!O21="","OFF",OCD!O21="HC","C087",OCD!O21="M","C510",OCD!O21="E","C519",OCD!O21="C9","C678", TRUE,"")</f>
        <v>OFF</v>
      </c>
      <c r="O10" s="140" t="str" cm="1">
        <f t="array" ref="O10">_xlfn.IFS(OCD!P21="","OFF",OCD!P21="HC","C087",OCD!P21="M","C510",OCD!P21="E","C519",OCD!P21="C9","C678", TRUE,"")</f>
        <v>OFF</v>
      </c>
      <c r="P10" s="140" t="str" cm="1">
        <f t="array" ref="P10">_xlfn.IFS(OCD!Q21="","OFF",OCD!Q21="HC","C087",OCD!Q21="M","C510",OCD!Q21="E","C519",OCD!Q21="C9","C678", TRUE,"")</f>
        <v>OFF</v>
      </c>
      <c r="Q10" s="140" t="str" cm="1">
        <f t="array" ref="Q10">_xlfn.IFS(OCD!R21="","OFF",OCD!R21="HC","C087",OCD!R21="M","C510",OCD!R21="E","C519",OCD!R21="C9","C678", TRUE,"")</f>
        <v>OFF</v>
      </c>
      <c r="R10" s="140" t="str" cm="1">
        <f t="array" ref="R10">_xlfn.IFS(OCD!S21="","OFF",OCD!S21="HC","C087",OCD!S21="M","C510",OCD!S21="E","C519",OCD!S21="C9","C678", TRUE,"")</f>
        <v>OFF</v>
      </c>
      <c r="S10" s="140" t="str" cm="1">
        <f t="array" ref="S10">_xlfn.IFS(OCD!T21="","OFF",OCD!T21="HC","C087",OCD!T21="M","C510",OCD!T21="E","C519",OCD!T21="C9","C678", TRUE,"")</f>
        <v>OFF</v>
      </c>
      <c r="T10" s="140" t="str" cm="1">
        <f t="array" ref="T10">_xlfn.IFS(OCD!U21="","OFF",OCD!U21="HC","C087",OCD!U21="M","C510",OCD!U21="E","C519",OCD!U21="C9","C678", TRUE,"")</f>
        <v>OFF</v>
      </c>
      <c r="U10" s="140" t="str" cm="1">
        <f t="array" ref="U10">_xlfn.IFS(OCD!V21="","OFF",OCD!V21="HC","C087",OCD!V21="M","C510",OCD!V21="E","C519",OCD!V21="C9","C678", TRUE,"")</f>
        <v>OFF</v>
      </c>
      <c r="V10" s="140" t="str" cm="1">
        <f t="array" ref="V10">_xlfn.IFS(OCD!W21="","OFF",OCD!W21="HC","C087",OCD!W21="M","C510",OCD!W21="E","C519",OCD!W21="C9","C678", TRUE,"")</f>
        <v>OFF</v>
      </c>
      <c r="W10" s="140" t="str" cm="1">
        <f t="array" ref="W10">_xlfn.IFS(OCD!X21="","OFF",OCD!X21="HC","C087",OCD!X21="M","C510",OCD!X21="E","C519",OCD!X21="C9","C678", TRUE,"")</f>
        <v>OFF</v>
      </c>
      <c r="X10" s="140" t="str" cm="1">
        <f t="array" ref="X10">_xlfn.IFS(OCD!Y21="","OFF",OCD!Y21="HC","C087",OCD!Y21="M","C510",OCD!Y21="E","C519",OCD!Y21="C9","C678", TRUE,"")</f>
        <v>OFF</v>
      </c>
      <c r="Y10" s="140" t="str" cm="1">
        <f t="array" ref="Y10">_xlfn.IFS(OCD!Z21="","OFF",OCD!Z21="HC","C087",OCD!Z21="M","C510",OCD!Z21="E","C519",OCD!Z21="C9","C678", TRUE,"")</f>
        <v>OFF</v>
      </c>
      <c r="Z10" s="140" t="str" cm="1">
        <f t="array" ref="Z10">_xlfn.IFS(OCD!AA21="","OFF",OCD!AA21="HC","C087",OCD!AA21="M","C510",OCD!AA21="E","C519",OCD!AA21="C9","C678", TRUE,"")</f>
        <v>OFF</v>
      </c>
      <c r="AA10" s="140" t="str" cm="1">
        <f t="array" ref="AA10">_xlfn.IFS(OCD!AB21="","OFF",OCD!AB21="HC","C087",OCD!AB21="M","C510",OCD!AB21="E","C519",OCD!AB21="C9","C678", TRUE,"")</f>
        <v>OFF</v>
      </c>
      <c r="AB10" s="140" t="str" cm="1">
        <f t="array" ref="AB10">_xlfn.IFS(OCD!AC21="","OFF",OCD!AC21="HC","C087",OCD!AC21="M","C510",OCD!AC21="E","C519",OCD!AC21="C9","C678", TRUE,"")</f>
        <v>OFF</v>
      </c>
      <c r="AC10" s="140" t="str" cm="1">
        <f t="array" ref="AC10">_xlfn.IFS(OCD!AD21="","OFF",OCD!AD21="HC","C087",OCD!AD21="M","C510",OCD!AD21="E","C519",OCD!AD21="C9","C678", TRUE,"")</f>
        <v>OFF</v>
      </c>
      <c r="AD10" s="140" t="str" cm="1">
        <f t="array" ref="AD10">_xlfn.IFS(OCD!AE21="","OFF",OCD!AE21="HC","C087",OCD!AE21="M","C510",OCD!AE21="E","C519",OCD!AE21="C9","C678", TRUE,"")</f>
        <v>OFF</v>
      </c>
      <c r="AE10" s="140" t="str" cm="1">
        <f t="array" ref="AE10">_xlfn.IFS(OCD!AF21="","OFF",OCD!AF21="HC","C087",OCD!AF21="M","C510",OCD!AF21="E","C519",OCD!AF21="C9","C678", TRUE,"")</f>
        <v>OFF</v>
      </c>
      <c r="AF10" s="140" t="str" cm="1">
        <f t="array" ref="AF10">_xlfn.IFS(OCD!AG21="","OFF",OCD!AG21="HC","C087",OCD!AG21="M","C510",OCD!AG21="E","C519",OCD!AG21="C9","C678", TRUE,"")</f>
        <v>OFF</v>
      </c>
      <c r="AG10" s="140" t="str" cm="1">
        <f t="array" ref="AG10">_xlfn.IFS(OCD!AH21="","OFF",OCD!AH21="HC","C087",OCD!AH21="M","C510",OCD!AH21="E","C519",OCD!AH21="C9","C678", TRUE,"")</f>
        <v>OFF</v>
      </c>
    </row>
    <row r="11" spans="1:33" x14ac:dyDescent="0.25">
      <c r="A11" s="138" t="s">
        <v>46</v>
      </c>
      <c r="B11" s="139" t="s">
        <v>47</v>
      </c>
      <c r="C11" s="140" t="str" cm="1">
        <f t="array" ref="C11">_xlfn.IFS(OCD!D19="","OFF",OCD!D19="HC","C087",OCD!D19="M","C510",OCD!D19="E","C519",OCD!D19="C9","C678", TRUE,"")</f>
        <v>OFF</v>
      </c>
      <c r="D11" s="140" t="str" cm="1">
        <f t="array" ref="D11">_xlfn.IFS(OCD!E19="","OFF",OCD!E19="HC","C087",OCD!E19="M","C510",OCD!E19="E","C519",OCD!E19="C9","C678", TRUE,"")</f>
        <v>OFF</v>
      </c>
      <c r="E11" s="140" t="str" cm="1">
        <f t="array" ref="E11">_xlfn.IFS(OCD!F19="","OFF",OCD!F19="HC","C087",OCD!F19="M","C510",OCD!F19="E","C519",OCD!F19="C9","C678", TRUE,"")</f>
        <v>C519</v>
      </c>
      <c r="F11" s="140" t="str" cm="1">
        <f t="array" ref="F11">_xlfn.IFS(OCD!G19="","OFF",OCD!G19="HC","C087",OCD!G19="M","C510",OCD!G19="E","C519",OCD!G19="C9","C678", TRUE,"")</f>
        <v>OFF</v>
      </c>
      <c r="G11" s="140" t="str" cm="1">
        <f t="array" ref="G11">_xlfn.IFS(OCD!H19="","OFF",OCD!H19="HC","C087",OCD!H19="M","C510",OCD!H19="E","C519",OCD!H19="C9","C678", TRUE,"")</f>
        <v>C510</v>
      </c>
      <c r="H11" s="140" t="str" cm="1">
        <f t="array" ref="H11">_xlfn.IFS(OCD!I19="","OFF",OCD!I19="HC","C087",OCD!I19="M","C510",OCD!I19="E","C519",OCD!I19="C9","C678", TRUE,"")</f>
        <v>C519</v>
      </c>
      <c r="I11" s="140" t="str" cm="1">
        <f t="array" ref="I11">_xlfn.IFS(OCD!J19="","OFF",OCD!J19="HC","C087",OCD!J19="M","C510",OCD!J19="E","C519",OCD!J19="C9","C678", TRUE,"")</f>
        <v>OFF</v>
      </c>
      <c r="J11" s="140" t="str" cm="1">
        <f t="array" ref="J11">_xlfn.IFS(OCD!K19="","OFF",OCD!K19="HC","C087",OCD!K19="M","C510",OCD!K19="E","C519",OCD!K19="C9","C678", TRUE,"")</f>
        <v>C510</v>
      </c>
      <c r="K11" s="140" t="str" cm="1">
        <f t="array" ref="K11">_xlfn.IFS(OCD!L19="","OFF",OCD!L19="HC","C087",OCD!L19="M","C510",OCD!L19="E","C519",OCD!L19="C9","C678", TRUE,"")</f>
        <v>C510</v>
      </c>
      <c r="L11" s="140" t="str" cm="1">
        <f t="array" ref="L11">_xlfn.IFS(OCD!M19="","OFF",OCD!M19="HC","C087",OCD!M19="M","C510",OCD!M19="E","C519",OCD!M19="C9","C678", TRUE,"")</f>
        <v>C519</v>
      </c>
      <c r="M11" s="140" t="str" cm="1">
        <f t="array" ref="M11">_xlfn.IFS(OCD!N19="","OFF",OCD!N19="HC","C087",OCD!N19="M","C510",OCD!N19="E","C519",OCD!N19="C9","C678", TRUE,"")</f>
        <v>OFF</v>
      </c>
      <c r="N11" s="140" t="str" cm="1">
        <f t="array" ref="N11">_xlfn.IFS(OCD!O19="","OFF",OCD!O19="HC","C087",OCD!O19="M","C510",OCD!O19="E","C519",OCD!O19="C9","C678", TRUE,"")</f>
        <v>OFF</v>
      </c>
      <c r="O11" s="140" t="str" cm="1">
        <f t="array" ref="O11">_xlfn.IFS(OCD!P19="","OFF",OCD!P19="HC","C087",OCD!P19="M","C510",OCD!P19="E","C519",OCD!P19="C9","C678", TRUE,"")</f>
        <v>OFF</v>
      </c>
      <c r="P11" s="140" t="str" cm="1">
        <f t="array" ref="P11">_xlfn.IFS(OCD!Q19="","OFF",OCD!Q19="HC","C087",OCD!Q19="M","C510",OCD!Q19="E","C519",OCD!Q19="C9","C678", TRUE,"")</f>
        <v>C510</v>
      </c>
      <c r="Q11" s="140" t="str" cm="1">
        <f t="array" ref="Q11">_xlfn.IFS(OCD!R19="","OFF",OCD!R19="HC","C087",OCD!R19="M","C510",OCD!R19="E","C519",OCD!R19="C9","C678", TRUE,"")</f>
        <v>C519</v>
      </c>
      <c r="R11" s="140" t="str" cm="1">
        <f t="array" ref="R11">_xlfn.IFS(OCD!S19="","OFF",OCD!S19="HC","C087",OCD!S19="M","C510",OCD!S19="E","C519",OCD!S19="C9","C678", TRUE,"")</f>
        <v>OFF</v>
      </c>
      <c r="S11" s="140" t="str" cm="1">
        <f t="array" ref="S11">_xlfn.IFS(OCD!T19="","OFF",OCD!T19="HC","C087",OCD!T19="M","C510",OCD!T19="E","C519",OCD!T19="C9","C678", TRUE,"")</f>
        <v>OFF</v>
      </c>
      <c r="T11" s="140" t="str" cm="1">
        <f t="array" ref="T11">_xlfn.IFS(OCD!U19="","OFF",OCD!U19="HC","C087",OCD!U19="M","C510",OCD!U19="E","C519",OCD!U19="C9","C678", TRUE,"")</f>
        <v>C510</v>
      </c>
      <c r="U11" s="140" t="str" cm="1">
        <f t="array" ref="U11">_xlfn.IFS(OCD!V19="","OFF",OCD!V19="HC","C087",OCD!V19="M","C510",OCD!V19="E","C519",OCD!V19="C9","C678", TRUE,"")</f>
        <v>OFF</v>
      </c>
      <c r="V11" s="140" t="str" cm="1">
        <f t="array" ref="V11">_xlfn.IFS(OCD!W19="","OFF",OCD!W19="HC","C087",OCD!W19="M","C510",OCD!W19="E","C519",OCD!W19="C9","C678", TRUE,"")</f>
        <v>OFF</v>
      </c>
      <c r="W11" s="140" t="str" cm="1">
        <f t="array" ref="W11">_xlfn.IFS(OCD!X19="","OFF",OCD!X19="HC","C087",OCD!X19="M","C510",OCD!X19="E","C519",OCD!X19="C9","C678", TRUE,"")</f>
        <v>C519</v>
      </c>
      <c r="X11" s="140" t="str" cm="1">
        <f t="array" ref="X11">_xlfn.IFS(OCD!Y19="","OFF",OCD!Y19="HC","C087",OCD!Y19="M","C510",OCD!Y19="E","C519",OCD!Y19="C9","C678", TRUE,"")</f>
        <v>OFF</v>
      </c>
      <c r="Y11" s="140" t="str" cm="1">
        <f t="array" ref="Y11">_xlfn.IFS(OCD!Z19="","OFF",OCD!Z19="HC","C087",OCD!Z19="M","C510",OCD!Z19="E","C519",OCD!Z19="C9","C678", TRUE,"")</f>
        <v>C510</v>
      </c>
      <c r="Z11" s="140" t="str" cm="1">
        <f t="array" ref="Z11">_xlfn.IFS(OCD!AA19="","OFF",OCD!AA19="HC","C087",OCD!AA19="M","C510",OCD!AA19="E","C519",OCD!AA19="C9","C678", TRUE,"")</f>
        <v>C519</v>
      </c>
      <c r="AA11" s="140" t="str" cm="1">
        <f t="array" ref="AA11">_xlfn.IFS(OCD!AB19="","OFF",OCD!AB19="HC","C087",OCD!AB19="M","C510",OCD!AB19="E","C519",OCD!AB19="C9","C678", TRUE,"")</f>
        <v>OFF</v>
      </c>
      <c r="AB11" s="140" t="str" cm="1">
        <f t="array" ref="AB11">_xlfn.IFS(OCD!AC19="","OFF",OCD!AC19="HC","C087",OCD!AC19="M","C510",OCD!AC19="E","C519",OCD!AC19="C9","C678", TRUE,"")</f>
        <v>C510</v>
      </c>
      <c r="AC11" s="140" t="str" cm="1">
        <f t="array" ref="AC11">_xlfn.IFS(OCD!AD19="","OFF",OCD!AD19="HC","C087",OCD!AD19="M","C510",OCD!AD19="E","C519",OCD!AD19="C9","C678", TRUE,"")</f>
        <v>C510</v>
      </c>
      <c r="AD11" s="140" t="str" cm="1">
        <f t="array" ref="AD11">_xlfn.IFS(OCD!AE19="","OFF",OCD!AE19="HC","C087",OCD!AE19="M","C510",OCD!AE19="E","C519",OCD!AE19="C9","C678", TRUE,"")</f>
        <v>C519</v>
      </c>
      <c r="AE11" s="140" t="str" cm="1">
        <f t="array" ref="AE11">_xlfn.IFS(OCD!AF19="","OFF",OCD!AF19="HC","C087",OCD!AF19="M","C510",OCD!AF19="E","C519",OCD!AF19="C9","C678", TRUE,"")</f>
        <v>OFF</v>
      </c>
      <c r="AF11" s="140" t="str" cm="1">
        <f t="array" ref="AF11">_xlfn.IFS(OCD!AG19="","OFF",OCD!AG19="HC","C087",OCD!AG19="M","C510",OCD!AG19="E","C519",OCD!AG19="C9","C678", TRUE,"")</f>
        <v>C510</v>
      </c>
      <c r="AG11" s="140" t="str" cm="1">
        <f t="array" ref="AG11">_xlfn.IFS(OCD!AH19="","OFF",OCD!AH19="HC","C087",OCD!AH19="M","C510",OCD!AH19="E","C519",OCD!AH19="C9","C678", TRUE,"")</f>
        <v>C519</v>
      </c>
    </row>
    <row r="12" spans="1:33" x14ac:dyDescent="0.25">
      <c r="A12" s="138" t="s">
        <v>49</v>
      </c>
      <c r="B12" s="139" t="s">
        <v>50</v>
      </c>
      <c r="C12" s="140" t="str" cm="1">
        <f t="array" ref="C12">_xlfn.IFS(OCD!D22="","OFF",OCD!D22="HC","C087",OCD!D22="M","C510",OCD!D22="E","C519",OCD!D22="C9","C678", TRUE,"")</f>
        <v>OFF</v>
      </c>
      <c r="D12" s="140" t="str" cm="1">
        <f t="array" ref="D12">_xlfn.IFS(OCD!E22="","OFF",OCD!E22="HC","C087",OCD!E22="M","C510",OCD!E22="E","C519",OCD!E22="C9","C678", TRUE,"")</f>
        <v>C087</v>
      </c>
      <c r="E12" s="140" t="str" cm="1">
        <f t="array" ref="E12">_xlfn.IFS(OCD!F22="","OFF",OCD!F22="HC","C087",OCD!F22="M","C510",OCD!F22="E","C519",OCD!F22="C9","C678", TRUE,"")</f>
        <v>C087</v>
      </c>
      <c r="F12" s="140" t="str" cm="1">
        <f t="array" ref="F12">_xlfn.IFS(OCD!G22="","OFF",OCD!G22="HC","C087",OCD!G22="M","C510",OCD!G22="E","C519",OCD!G22="C9","C678", TRUE,"")</f>
        <v>C087</v>
      </c>
      <c r="G12" s="140" t="str" cm="1">
        <f t="array" ref="G12">_xlfn.IFS(OCD!H22="","OFF",OCD!H22="HC","C087",OCD!H22="M","C510",OCD!H22="E","C519",OCD!H22="C9","C678", TRUE,"")</f>
        <v>C087</v>
      </c>
      <c r="H12" s="140" t="str" cm="1">
        <f t="array" ref="H12">_xlfn.IFS(OCD!I22="","OFF",OCD!I22="HC","C087",OCD!I22="M","C510",OCD!I22="E","C519",OCD!I22="C9","C678", TRUE,"")</f>
        <v>C087</v>
      </c>
      <c r="I12" s="140" t="str" cm="1">
        <f t="array" ref="I12">_xlfn.IFS(OCD!J22="","OFF",OCD!J22="HC","C087",OCD!J22="M","C510",OCD!J22="E","C519",OCD!J22="C9","C678", TRUE,"")</f>
        <v>C510</v>
      </c>
      <c r="J12" s="140" t="str" cm="1">
        <f t="array" ref="J12">_xlfn.IFS(OCD!K22="","OFF",OCD!K22="HC","C087",OCD!K22="M","C510",OCD!K22="E","C519",OCD!K22="C9","C678", TRUE,"")</f>
        <v>C519</v>
      </c>
      <c r="K12" s="140" t="str" cm="1">
        <f t="array" ref="K12">_xlfn.IFS(OCD!L22="","OFF",OCD!L22="HC","C087",OCD!L22="M","C510",OCD!L22="E","C519",OCD!L22="C9","C678", TRUE,"")</f>
        <v>OFF</v>
      </c>
      <c r="L12" s="140" t="str" cm="1">
        <f t="array" ref="L12">_xlfn.IFS(OCD!M22="","OFF",OCD!M22="HC","C087",OCD!M22="M","C510",OCD!M22="E","C519",OCD!M22="C9","C678", TRUE,"")</f>
        <v>C510</v>
      </c>
      <c r="M12" s="140" t="str" cm="1">
        <f t="array" ref="M12">_xlfn.IFS(OCD!N22="","OFF",OCD!N22="HC","C087",OCD!N22="M","C510",OCD!N22="E","C519",OCD!N22="C9","C678", TRUE,"")</f>
        <v>C510</v>
      </c>
      <c r="N12" s="140" t="str" cm="1">
        <f t="array" ref="N12">_xlfn.IFS(OCD!O22="","OFF",OCD!O22="HC","C087",OCD!O22="M","C510",OCD!O22="E","C519",OCD!O22="C9","C678", TRUE,"")</f>
        <v>C519</v>
      </c>
      <c r="O12" s="140" t="str" cm="1">
        <f t="array" ref="O12">_xlfn.IFS(OCD!P22="","OFF",OCD!P22="HC","C087",OCD!P22="M","C510",OCD!P22="E","C519",OCD!P22="C9","C678", TRUE,"")</f>
        <v>OFF</v>
      </c>
      <c r="P12" s="140" t="str" cm="1">
        <f t="array" ref="P12">_xlfn.IFS(OCD!Q22="","OFF",OCD!Q22="HC","C087",OCD!Q22="M","C510",OCD!Q22="E","C519",OCD!Q22="C9","C678", TRUE,"")</f>
        <v>OFF</v>
      </c>
      <c r="Q12" s="140" t="str" cm="1">
        <f t="array" ref="Q12">_xlfn.IFS(OCD!R22="","OFF",OCD!R22="HC","C087",OCD!R22="M","C510",OCD!R22="E","C519",OCD!R22="C9","C678", TRUE,"")</f>
        <v>C510</v>
      </c>
      <c r="R12" s="140" t="str" cm="1">
        <f t="array" ref="R12">_xlfn.IFS(OCD!S22="","OFF",OCD!S22="HC","C087",OCD!S22="M","C510",OCD!S22="E","C519",OCD!S22="C9","C678", TRUE,"")</f>
        <v>C519</v>
      </c>
      <c r="S12" s="140" t="str" cm="1">
        <f t="array" ref="S12">_xlfn.IFS(OCD!T22="","OFF",OCD!T22="HC","C087",OCD!T22="M","C510",OCD!T22="E","C519",OCD!T22="C9","C678", TRUE,"")</f>
        <v>OFF</v>
      </c>
      <c r="T12" s="140" t="str" cm="1">
        <f t="array" ref="T12">_xlfn.IFS(OCD!U22="","OFF",OCD!U22="HC","C087",OCD!U22="M","C510",OCD!U22="E","C519",OCD!U22="C9","C678", TRUE,"")</f>
        <v>C510</v>
      </c>
      <c r="U12" s="140" t="str" cm="1">
        <f t="array" ref="U12">_xlfn.IFS(OCD!V22="","OFF",OCD!V22="HC","C087",OCD!V22="M","C510",OCD!V22="E","C519",OCD!V22="C9","C678", TRUE,"")</f>
        <v>OFF</v>
      </c>
      <c r="V12" s="140" t="str" cm="1">
        <f t="array" ref="V12">_xlfn.IFS(OCD!W22="","OFF",OCD!W22="HC","C087",OCD!W22="M","C510",OCD!W22="E","C519",OCD!W22="C9","C678", TRUE,"")</f>
        <v>C519</v>
      </c>
      <c r="W12" s="140" t="str" cm="1">
        <f t="array" ref="W12">_xlfn.IFS(OCD!X22="","OFF",OCD!X22="HC","C087",OCD!X22="M","C510",OCD!X22="E","C519",OCD!X22="C9","C678", TRUE,"")</f>
        <v>OFF</v>
      </c>
      <c r="X12" s="140" t="str" cm="1">
        <f t="array" ref="X12">_xlfn.IFS(OCD!Y22="","OFF",OCD!Y22="HC","C087",OCD!Y22="M","C510",OCD!Y22="E","C519",OCD!Y22="C9","C678", TRUE,"")</f>
        <v>OFF</v>
      </c>
      <c r="Y12" s="140" t="str" cm="1">
        <f t="array" ref="Y12">_xlfn.IFS(OCD!Z22="","OFF",OCD!Z22="HC","C087",OCD!Z22="M","C510",OCD!Z22="E","C519",OCD!Z22="C9","C678", TRUE,"")</f>
        <v>C510</v>
      </c>
      <c r="Z12" s="140" t="str" cm="1">
        <f t="array" ref="Z12">_xlfn.IFS(OCD!AA22="","OFF",OCD!AA22="HC","C087",OCD!AA22="M","C510",OCD!AA22="E","C519",OCD!AA22="C9","C678", TRUE,"")</f>
        <v>C519</v>
      </c>
      <c r="AA12" s="140" t="str" cm="1">
        <f t="array" ref="AA12">_xlfn.IFS(OCD!AB22="","OFF",OCD!AB22="HC","C087",OCD!AB22="M","C510",OCD!AB22="E","C519",OCD!AB22="C9","C678", TRUE,"")</f>
        <v>OFF</v>
      </c>
      <c r="AB12" s="140" t="str" cm="1">
        <f t="array" ref="AB12">_xlfn.IFS(OCD!AC22="","OFF",OCD!AC22="HC","C087",OCD!AC22="M","C510",OCD!AC22="E","C519",OCD!AC22="C9","C678", TRUE,"")</f>
        <v>OFF</v>
      </c>
      <c r="AC12" s="140" t="str" cm="1">
        <f t="array" ref="AC12">_xlfn.IFS(OCD!AD22="","OFF",OCD!AD22="HC","C087",OCD!AD22="M","C510",OCD!AD22="E","C519",OCD!AD22="C9","C678", TRUE,"")</f>
        <v>C510</v>
      </c>
      <c r="AD12" s="140" t="str" cm="1">
        <f t="array" ref="AD12">_xlfn.IFS(OCD!AE22="","OFF",OCD!AE22="HC","C087",OCD!AE22="M","C510",OCD!AE22="E","C519",OCD!AE22="C9","C678", TRUE,"")</f>
        <v>C519</v>
      </c>
      <c r="AE12" s="140" t="str" cm="1">
        <f t="array" ref="AE12">_xlfn.IFS(OCD!AF22="","OFF",OCD!AF22="HC","C087",OCD!AF22="M","C510",OCD!AF22="E","C519",OCD!AF22="C9","C678", TRUE,"")</f>
        <v>OFF</v>
      </c>
      <c r="AF12" s="140" t="str" cm="1">
        <f t="array" ref="AF12">_xlfn.IFS(OCD!AG22="","OFF",OCD!AG22="HC","C087",OCD!AG22="M","C510",OCD!AG22="E","C519",OCD!AG22="C9","C678", TRUE,"")</f>
        <v>OFF</v>
      </c>
      <c r="AG12" s="140" t="str" cm="1">
        <f t="array" ref="AG12">_xlfn.IFS(OCD!AH22="","OFF",OCD!AH22="HC","C087",OCD!AH22="M","C510",OCD!AH22="E","C519",OCD!AH22="C9","C678", TRUE,"")</f>
        <v>C510</v>
      </c>
    </row>
    <row r="13" spans="1:33" x14ac:dyDescent="0.25">
      <c r="A13" s="138" t="s">
        <v>51</v>
      </c>
      <c r="B13" s="139" t="s">
        <v>52</v>
      </c>
      <c r="C13" s="140" t="str" cm="1">
        <f t="array" ref="C13">_xlfn.IFS(OCD!D23="","OFF",OCD!D23="HC","C087",OCD!D23="M","C510",OCD!D23="E","C519",OCD!D23="C9","C678", TRUE,"")</f>
        <v>OFF</v>
      </c>
      <c r="D13" s="140" t="str" cm="1">
        <f t="array" ref="D13">_xlfn.IFS(OCD!E23="","OFF",OCD!E23="HC","C087",OCD!E23="M","C510",OCD!E23="E","C519",OCD!E23="C9","C678", TRUE,"")</f>
        <v>C087</v>
      </c>
      <c r="E13" s="140" t="str" cm="1">
        <f t="array" ref="E13">_xlfn.IFS(OCD!F23="","OFF",OCD!F23="HC","C087",OCD!F23="M","C510",OCD!F23="E","C519",OCD!F23="C9","C678", TRUE,"")</f>
        <v>C087</v>
      </c>
      <c r="F13" s="140" t="str" cm="1">
        <f t="array" ref="F13">_xlfn.IFS(OCD!G23="","OFF",OCD!G23="HC","C087",OCD!G23="M","C510",OCD!G23="E","C519",OCD!G23="C9","C678", TRUE,"")</f>
        <v>C087</v>
      </c>
      <c r="G13" s="140" t="str" cm="1">
        <f t="array" ref="G13">_xlfn.IFS(OCD!H23="","OFF",OCD!H23="HC","C087",OCD!H23="M","C510",OCD!H23="E","C519",OCD!H23="C9","C678", TRUE,"")</f>
        <v>C087</v>
      </c>
      <c r="H13" s="140" t="str" cm="1">
        <f t="array" ref="H13">_xlfn.IFS(OCD!I23="","OFF",OCD!I23="HC","C087",OCD!I23="M","C510",OCD!I23="E","C519",OCD!I23="C9","C678", TRUE,"")</f>
        <v>C087</v>
      </c>
      <c r="I13" s="140" t="str" cm="1">
        <f t="array" ref="I13">_xlfn.IFS(OCD!J23="","OFF",OCD!J23="HC","C087",OCD!J23="M","C510",OCD!J23="E","C519",OCD!J23="C9","C678", TRUE,"")</f>
        <v>OFF</v>
      </c>
      <c r="J13" s="140" t="str" cm="1">
        <f t="array" ref="J13">_xlfn.IFS(OCD!K23="","OFF",OCD!K23="HC","C087",OCD!K23="M","C510",OCD!K23="E","C519",OCD!K23="C9","C678", TRUE,"")</f>
        <v>C510</v>
      </c>
      <c r="K13" s="140" t="str" cm="1">
        <f t="array" ref="K13">_xlfn.IFS(OCD!L23="","OFF",OCD!L23="HC","C087",OCD!L23="M","C510",OCD!L23="E","C519",OCD!L23="C9","C678", TRUE,"")</f>
        <v>C519</v>
      </c>
      <c r="L13" s="140" t="str" cm="1">
        <f t="array" ref="L13">_xlfn.IFS(OCD!M23="","OFF",OCD!M23="HC","C087",OCD!M23="M","C510",OCD!M23="E","C519",OCD!M23="C9","C678", TRUE,"")</f>
        <v>OFF</v>
      </c>
      <c r="M13" s="140" t="str" cm="1">
        <f t="array" ref="M13">_xlfn.IFS(OCD!N23="","OFF",OCD!N23="HC","C087",OCD!N23="M","C510",OCD!N23="E","C519",OCD!N23="C9","C678", TRUE,"")</f>
        <v>OFF</v>
      </c>
      <c r="N13" s="140" t="str" cm="1">
        <f t="array" ref="N13">_xlfn.IFS(OCD!O23="","OFF",OCD!O23="HC","C087",OCD!O23="M","C510",OCD!O23="E","C519",OCD!O23="C9","C678", TRUE,"")</f>
        <v>C510</v>
      </c>
      <c r="O13" s="140" t="str" cm="1">
        <f t="array" ref="O13">_xlfn.IFS(OCD!P23="","OFF",OCD!P23="HC","C087",OCD!P23="M","C510",OCD!P23="E","C519",OCD!P23="C9","C678", TRUE,"")</f>
        <v>C519</v>
      </c>
      <c r="P13" s="140" t="str" cm="1">
        <f t="array" ref="P13">_xlfn.IFS(OCD!Q23="","OFF",OCD!Q23="HC","C087",OCD!Q23="M","C510",OCD!Q23="E","C519",OCD!Q23="C9","C678", TRUE,"")</f>
        <v>OFF</v>
      </c>
      <c r="Q13" s="140" t="str" cm="1">
        <f t="array" ref="Q13">_xlfn.IFS(OCD!R23="","OFF",OCD!R23="HC","C087",OCD!R23="M","C510",OCD!R23="E","C519",OCD!R23="C9","C678", TRUE,"")</f>
        <v>C510</v>
      </c>
      <c r="R13" s="140" t="str" cm="1">
        <f t="array" ref="R13">_xlfn.IFS(OCD!S23="","OFF",OCD!S23="HC","C087",OCD!S23="M","C510",OCD!S23="E","C519",OCD!S23="C9","C678", TRUE,"")</f>
        <v>C510</v>
      </c>
      <c r="S13" s="140" t="str" cm="1">
        <f t="array" ref="S13">_xlfn.IFS(OCD!T23="","OFF",OCD!T23="HC","C087",OCD!T23="M","C510",OCD!T23="E","C519",OCD!T23="C9","C678", TRUE,"")</f>
        <v>C519</v>
      </c>
      <c r="T13" s="140" t="str" cm="1">
        <f t="array" ref="T13">_xlfn.IFS(OCD!U23="","OFF",OCD!U23="HC","C087",OCD!U23="M","C510",OCD!U23="E","C519",OCD!U23="C9","C678", TRUE,"")</f>
        <v>OFF</v>
      </c>
      <c r="U13" s="140" t="str" cm="1">
        <f t="array" ref="U13">_xlfn.IFS(OCD!V23="","OFF",OCD!V23="HC","C087",OCD!V23="M","C510",OCD!V23="E","C519",OCD!V23="C9","C678", TRUE,"")</f>
        <v>C510</v>
      </c>
      <c r="V13" s="140" t="str" cm="1">
        <f t="array" ref="V13">_xlfn.IFS(OCD!W23="","OFF",OCD!W23="HC","C087",OCD!W23="M","C510",OCD!W23="E","C519",OCD!W23="C9","C678", TRUE,"")</f>
        <v>C510</v>
      </c>
      <c r="W13" s="140" t="str" cm="1">
        <f t="array" ref="W13">_xlfn.IFS(OCD!X23="","OFF",OCD!X23="HC","C087",OCD!X23="M","C510",OCD!X23="E","C519",OCD!X23="C9","C678", TRUE,"")</f>
        <v>C519</v>
      </c>
      <c r="X13" s="140" t="str" cm="1">
        <f t="array" ref="X13">_xlfn.IFS(OCD!Y23="","OFF",OCD!Y23="HC","C087",OCD!Y23="M","C510",OCD!Y23="E","C519",OCD!Y23="C9","C678", TRUE,"")</f>
        <v>OFF</v>
      </c>
      <c r="Y13" s="140" t="str" cm="1">
        <f t="array" ref="Y13">_xlfn.IFS(OCD!Z23="","OFF",OCD!Z23="HC","C087",OCD!Z23="M","C510",OCD!Z23="E","C519",OCD!Z23="C9","C678", TRUE,"")</f>
        <v>C510</v>
      </c>
      <c r="Z13" s="140" t="str" cm="1">
        <f t="array" ref="Z13">_xlfn.IFS(OCD!AA23="","OFF",OCD!AA23="HC","C087",OCD!AA23="M","C510",OCD!AA23="E","C519",OCD!AA23="C9","C678", TRUE,"")</f>
        <v>OFF</v>
      </c>
      <c r="AA13" s="140" t="str" cm="1">
        <f t="array" ref="AA13">_xlfn.IFS(OCD!AB23="","OFF",OCD!AB23="HC","C087",OCD!AB23="M","C510",OCD!AB23="E","C519",OCD!AB23="C9","C678", TRUE,"")</f>
        <v>C519</v>
      </c>
      <c r="AB13" s="140" t="str" cm="1">
        <f t="array" ref="AB13">_xlfn.IFS(OCD!AC23="","OFF",OCD!AC23="HC","C087",OCD!AC23="M","C510",OCD!AC23="E","C519",OCD!AC23="C9","C678", TRUE,"")</f>
        <v>OFF</v>
      </c>
      <c r="AC13" s="140" t="str" cm="1">
        <f t="array" ref="AC13">_xlfn.IFS(OCD!AD23="","OFF",OCD!AD23="HC","C087",OCD!AD23="M","C510",OCD!AD23="E","C519",OCD!AD23="C9","C678", TRUE,"")</f>
        <v>OFF</v>
      </c>
      <c r="AD13" s="140" t="str" cm="1">
        <f t="array" ref="AD13">_xlfn.IFS(OCD!AE23="","OFF",OCD!AE23="HC","C087",OCD!AE23="M","C510",OCD!AE23="E","C519",OCD!AE23="C9","C678", TRUE,"")</f>
        <v>C510</v>
      </c>
      <c r="AE13" s="140" t="str" cm="1">
        <f t="array" ref="AE13">_xlfn.IFS(OCD!AF23="","OFF",OCD!AF23="HC","C087",OCD!AF23="M","C510",OCD!AF23="E","C519",OCD!AF23="C9","C678", TRUE,"")</f>
        <v>C519</v>
      </c>
      <c r="AF13" s="140" t="str" cm="1">
        <f t="array" ref="AF13">_xlfn.IFS(OCD!AG23="","OFF",OCD!AG23="HC","C087",OCD!AG23="M","C510",OCD!AG23="E","C519",OCD!AG23="C9","C678", TRUE,"")</f>
        <v>OFF</v>
      </c>
      <c r="AG13" s="140" t="str" cm="1">
        <f t="array" ref="AG13">_xlfn.IFS(OCD!AH23="","OFF",OCD!AH23="HC","C087",OCD!AH23="M","C510",OCD!AH23="E","C519",OCD!AH23="C9","C678", TRUE,"")</f>
        <v>OFF</v>
      </c>
    </row>
    <row r="14" spans="1:33" x14ac:dyDescent="0.25">
      <c r="A14" s="138" t="s">
        <v>53</v>
      </c>
      <c r="B14" s="139" t="s">
        <v>54</v>
      </c>
      <c r="C14" s="140" t="str" cm="1">
        <f t="array" ref="C14">_xlfn.IFS(OCD!D24="","OFF",OCD!D24="HC","C087",OCD!D24="M","C510",OCD!D24="E","C519",OCD!D24="C9","C678", TRUE,"")</f>
        <v>OFF</v>
      </c>
      <c r="D14" s="140" t="str" cm="1">
        <f t="array" ref="D14">_xlfn.IFS(OCD!E24="","OFF",OCD!E24="HC","C087",OCD!E24="M","C510",OCD!E24="E","C519",OCD!E24="C9","C678", TRUE,"")</f>
        <v>C087</v>
      </c>
      <c r="E14" s="140" t="str" cm="1">
        <f t="array" ref="E14">_xlfn.IFS(OCD!F24="","OFF",OCD!F24="HC","C087",OCD!F24="M","C510",OCD!F24="E","C519",OCD!F24="C9","C678", TRUE,"")</f>
        <v>C087</v>
      </c>
      <c r="F14" s="140" t="str" cm="1">
        <f t="array" ref="F14">_xlfn.IFS(OCD!G24="","OFF",OCD!G24="HC","C087",OCD!G24="M","C510",OCD!G24="E","C519",OCD!G24="C9","C678", TRUE,"")</f>
        <v>C087</v>
      </c>
      <c r="G14" s="140" t="str" cm="1">
        <f t="array" ref="G14">_xlfn.IFS(OCD!H24="","OFF",OCD!H24="HC","C087",OCD!H24="M","C510",OCD!H24="E","C519",OCD!H24="C9","C678", TRUE,"")</f>
        <v>C087</v>
      </c>
      <c r="H14" s="140" t="str" cm="1">
        <f t="array" ref="H14">_xlfn.IFS(OCD!I24="","OFF",OCD!I24="HC","C087",OCD!I24="M","C510",OCD!I24="E","C519",OCD!I24="C9","C678", TRUE,"")</f>
        <v>C087</v>
      </c>
      <c r="I14" s="140" t="str" cm="1">
        <f t="array" ref="I14">_xlfn.IFS(OCD!J24="","OFF",OCD!J24="HC","C087",OCD!J24="M","C510",OCD!J24="E","C519",OCD!J24="C9","C678", TRUE,"")</f>
        <v>OFF</v>
      </c>
      <c r="J14" s="140" t="str" cm="1">
        <f t="array" ref="J14">_xlfn.IFS(OCD!K24="","OFF",OCD!K24="HC","C087",OCD!K24="M","C510",OCD!K24="E","C519",OCD!K24="C9","C678", TRUE,"")</f>
        <v>OFF</v>
      </c>
      <c r="K14" s="140" t="str" cm="1">
        <f t="array" ref="K14">_xlfn.IFS(OCD!L24="","OFF",OCD!L24="HC","C087",OCD!L24="M","C510",OCD!L24="E","C519",OCD!L24="C9","C678", TRUE,"")</f>
        <v>C510</v>
      </c>
      <c r="L14" s="140" t="str" cm="1">
        <f t="array" ref="L14">_xlfn.IFS(OCD!M24="","OFF",OCD!M24="HC","C087",OCD!M24="M","C510",OCD!M24="E","C519",OCD!M24="C9","C678", TRUE,"")</f>
        <v>C519</v>
      </c>
      <c r="M14" s="140" t="str" cm="1">
        <f t="array" ref="M14">_xlfn.IFS(OCD!N24="","OFF",OCD!N24="HC","C087",OCD!N24="M","C510",OCD!N24="E","C519",OCD!N24="C9","C678", TRUE,"")</f>
        <v>OFF</v>
      </c>
      <c r="N14" s="140" t="str" cm="1">
        <f t="array" ref="N14">_xlfn.IFS(OCD!O24="","OFF",OCD!O24="HC","C087",OCD!O24="M","C510",OCD!O24="E","C519",OCD!O24="C9","C678", TRUE,"")</f>
        <v>C510</v>
      </c>
      <c r="O14" s="140" t="str" cm="1">
        <f t="array" ref="O14">_xlfn.IFS(OCD!P24="","OFF",OCD!P24="HC","C087",OCD!P24="M","C510",OCD!P24="E","C519",OCD!P24="C9","C678", TRUE,"")</f>
        <v>C510</v>
      </c>
      <c r="P14" s="140" t="str" cm="1">
        <f t="array" ref="P14">_xlfn.IFS(OCD!Q24="","OFF",OCD!Q24="HC","C087",OCD!Q24="M","C510",OCD!Q24="E","C519",OCD!Q24="C9","C678", TRUE,"")</f>
        <v>C519</v>
      </c>
      <c r="Q14" s="140" t="str" cm="1">
        <f t="array" ref="Q14">_xlfn.IFS(OCD!R24="","OFF",OCD!R24="HC","C087",OCD!R24="M","C510",OCD!R24="E","C519",OCD!R24="C9","C678", TRUE,"")</f>
        <v>OFF</v>
      </c>
      <c r="R14" s="140" t="str" cm="1">
        <f t="array" ref="R14">_xlfn.IFS(OCD!S24="","OFF",OCD!S24="HC","C087",OCD!S24="M","C510",OCD!S24="E","C519",OCD!S24="C9","C678", TRUE,"")</f>
        <v>OFF</v>
      </c>
      <c r="S14" s="140" t="str" cm="1">
        <f t="array" ref="S14">_xlfn.IFS(OCD!T24="","OFF",OCD!T24="HC","C087",OCD!T24="M","C510",OCD!T24="E","C519",OCD!T24="C9","C678", TRUE,"")</f>
        <v>C510</v>
      </c>
      <c r="T14" s="140" t="str" cm="1">
        <f t="array" ref="T14">_xlfn.IFS(OCD!U24="","OFF",OCD!U24="HC","C087",OCD!U24="M","C510",OCD!U24="E","C519",OCD!U24="C9","C678", TRUE,"")</f>
        <v>C519</v>
      </c>
      <c r="U14" s="140" t="str" cm="1">
        <f t="array" ref="U14">_xlfn.IFS(OCD!V24="","OFF",OCD!V24="HC","C087",OCD!V24="M","C510",OCD!V24="E","C519",OCD!V24="C9","C678", TRUE,"")</f>
        <v>OFF</v>
      </c>
      <c r="V14" s="140" t="str" cm="1">
        <f t="array" ref="V14">_xlfn.IFS(OCD!W24="","OFF",OCD!W24="HC","C087",OCD!W24="M","C510",OCD!W24="E","C519",OCD!W24="C9","C678", TRUE,"")</f>
        <v>OFF</v>
      </c>
      <c r="W14" s="140" t="str" cm="1">
        <f t="array" ref="W14">_xlfn.IFS(OCD!X24="","OFF",OCD!X24="HC","C087",OCD!X24="M","C510",OCD!X24="E","C519",OCD!X24="C9","C678", TRUE,"")</f>
        <v>C510</v>
      </c>
      <c r="X14" s="140" t="str" cm="1">
        <f t="array" ref="X14">_xlfn.IFS(OCD!Y24="","OFF",OCD!Y24="HC","C087",OCD!Y24="M","C510",OCD!Y24="E","C519",OCD!Y24="C9","C678", TRUE,"")</f>
        <v>C519</v>
      </c>
      <c r="Y14" s="140" t="str" cm="1">
        <f t="array" ref="Y14">_xlfn.IFS(OCD!Z24="","OFF",OCD!Z24="HC","C087",OCD!Z24="M","C510",OCD!Z24="E","C519",OCD!Z24="C9","C678", TRUE,"")</f>
        <v>OFF</v>
      </c>
      <c r="Z14" s="140" t="str" cm="1">
        <f t="array" ref="Z14">_xlfn.IFS(OCD!AA24="","OFF",OCD!AA24="HC","C087",OCD!AA24="M","C510",OCD!AA24="E","C519",OCD!AA24="C9","C678", TRUE,"")</f>
        <v>C510</v>
      </c>
      <c r="AA14" s="140" t="str" cm="1">
        <f t="array" ref="AA14">_xlfn.IFS(OCD!AB24="","OFF",OCD!AB24="HC","C087",OCD!AB24="M","C510",OCD!AB24="E","C519",OCD!AB24="C9","C678", TRUE,"")</f>
        <v>C510</v>
      </c>
      <c r="AB14" s="140" t="str" cm="1">
        <f t="array" ref="AB14">_xlfn.IFS(OCD!AC24="","OFF",OCD!AC24="HC","C087",OCD!AC24="M","C510",OCD!AC24="E","C519",OCD!AC24="C9","C678", TRUE,"")</f>
        <v>C519</v>
      </c>
      <c r="AC14" s="140" t="str" cm="1">
        <f t="array" ref="AC14">_xlfn.IFS(OCD!AD24="","OFF",OCD!AD24="HC","C087",OCD!AD24="M","C510",OCD!AD24="E","C519",OCD!AD24="C9","C678", TRUE,"")</f>
        <v>OFF</v>
      </c>
      <c r="AD14" s="140" t="str" cm="1">
        <f t="array" ref="AD14">_xlfn.IFS(OCD!AE24="","OFF",OCD!AE24="HC","C087",OCD!AE24="M","C510",OCD!AE24="E","C519",OCD!AE24="C9","C678", TRUE,"")</f>
        <v>OFF</v>
      </c>
      <c r="AE14" s="140" t="str" cm="1">
        <f t="array" ref="AE14">_xlfn.IFS(OCD!AF24="","OFF",OCD!AF24="HC","C087",OCD!AF24="M","C510",OCD!AF24="E","C519",OCD!AF24="C9","C678", TRUE,"")</f>
        <v>C510</v>
      </c>
      <c r="AF14" s="140" t="str" cm="1">
        <f t="array" ref="AF14">_xlfn.IFS(OCD!AG24="","OFF",OCD!AG24="HC","C087",OCD!AG24="M","C510",OCD!AG24="E","C519",OCD!AG24="C9","C678", TRUE,"")</f>
        <v>C519</v>
      </c>
      <c r="AG14" s="140" t="str" cm="1">
        <f t="array" ref="AG14">_xlfn.IFS(OCD!AH24="","OFF",OCD!AH24="HC","C087",OCD!AH24="M","C510",OCD!AH24="E","C519",OCD!AH24="C9","C678", TRUE,"")</f>
        <v>OFF</v>
      </c>
    </row>
    <row r="15" spans="1:33" x14ac:dyDescent="0.25">
      <c r="A15" s="138" t="s">
        <v>55</v>
      </c>
      <c r="B15" s="139" t="s">
        <v>56</v>
      </c>
      <c r="C15" s="140" t="str" cm="1">
        <f t="array" ref="C15">_xlfn.IFS(OCD!D25="","OFF",OCD!D25="HC","C087",OCD!D25="M","C510",OCD!D25="E","C519",OCD!D25="C9","C678", TRUE,"")</f>
        <v>OFF</v>
      </c>
      <c r="D15" s="140" t="str" cm="1">
        <f t="array" ref="D15">_xlfn.IFS(OCD!E25="","OFF",OCD!E25="HC","C087",OCD!E25="M","C510",OCD!E25="E","C519",OCD!E25="C9","C678", TRUE,"")</f>
        <v>C087</v>
      </c>
      <c r="E15" s="140" t="str" cm="1">
        <f t="array" ref="E15">_xlfn.IFS(OCD!F25="","OFF",OCD!F25="HC","C087",OCD!F25="M","C510",OCD!F25="E","C519",OCD!F25="C9","C678", TRUE,"")</f>
        <v>C087</v>
      </c>
      <c r="F15" s="140" t="str" cm="1">
        <f t="array" ref="F15">_xlfn.IFS(OCD!G25="","OFF",OCD!G25="HC","C087",OCD!G25="M","C510",OCD!G25="E","C519",OCD!G25="C9","C678", TRUE,"")</f>
        <v>C087</v>
      </c>
      <c r="G15" s="140" t="str" cm="1">
        <f t="array" ref="G15">_xlfn.IFS(OCD!H25="","OFF",OCD!H25="HC","C087",OCD!H25="M","C510",OCD!H25="E","C519",OCD!H25="C9","C678", TRUE,"")</f>
        <v>C087</v>
      </c>
      <c r="H15" s="140" t="str" cm="1">
        <f t="array" ref="H15">_xlfn.IFS(OCD!I25="","OFF",OCD!I25="HC","C087",OCD!I25="M","C510",OCD!I25="E","C519",OCD!I25="C9","C678", TRUE,"")</f>
        <v>C087</v>
      </c>
      <c r="I15" s="140" t="str" cm="1">
        <f t="array" ref="I15">_xlfn.IFS(OCD!J25="","OFF",OCD!J25="HC","C087",OCD!J25="M","C510",OCD!J25="E","C519",OCD!J25="C9","C678", TRUE,"")</f>
        <v>C519</v>
      </c>
      <c r="J15" s="140" t="str" cm="1">
        <f t="array" ref="J15">_xlfn.IFS(OCD!K25="","OFF",OCD!K25="HC","C087",OCD!K25="M","C510",OCD!K25="E","C519",OCD!K25="C9","C678", TRUE,"")</f>
        <v>OFF</v>
      </c>
      <c r="K15" s="140" t="str" cm="1">
        <f t="array" ref="K15">_xlfn.IFS(OCD!L25="","OFF",OCD!L25="HC","C087",OCD!L25="M","C510",OCD!L25="E","C519",OCD!L25="C9","C678", TRUE,"")</f>
        <v>OFF</v>
      </c>
      <c r="L15" s="140" t="str" cm="1">
        <f t="array" ref="L15">_xlfn.IFS(OCD!M25="","OFF",OCD!M25="HC","C087",OCD!M25="M","C510",OCD!M25="E","C519",OCD!M25="C9","C678", TRUE,"")</f>
        <v>OFF</v>
      </c>
      <c r="M15" s="140" t="str" cm="1">
        <f t="array" ref="M15">_xlfn.IFS(OCD!N25="","OFF",OCD!N25="HC","C087",OCD!N25="M","C510",OCD!N25="E","C519",OCD!N25="C9","C678", TRUE,"")</f>
        <v>C519</v>
      </c>
      <c r="N15" s="140" t="str" cm="1">
        <f t="array" ref="N15">_xlfn.IFS(OCD!O25="","OFF",OCD!O25="HC","C087",OCD!O25="M","C510",OCD!O25="E","C519",OCD!O25="C9","C678", TRUE,"")</f>
        <v>OFF</v>
      </c>
      <c r="O15" s="140" t="str" cm="1">
        <f t="array" ref="O15">_xlfn.IFS(OCD!P25="","OFF",OCD!P25="HC","C087",OCD!P25="M","C510",OCD!P25="E","C519",OCD!P25="C9","C678", TRUE,"")</f>
        <v>OFF</v>
      </c>
      <c r="P15" s="140" t="str" cm="1">
        <f t="array" ref="P15">_xlfn.IFS(OCD!Q25="","OFF",OCD!Q25="HC","C087",OCD!Q25="M","C510",OCD!Q25="E","C519",OCD!Q25="C9","C678", TRUE,"")</f>
        <v>C510</v>
      </c>
      <c r="Q15" s="140" t="str" cm="1">
        <f t="array" ref="Q15">_xlfn.IFS(OCD!R25="","OFF",OCD!R25="HC","C087",OCD!R25="M","C510",OCD!R25="E","C519",OCD!R25="C9","C678", TRUE,"")</f>
        <v>C519</v>
      </c>
      <c r="R15" s="140" t="str" cm="1">
        <f t="array" ref="R15">_xlfn.IFS(OCD!S25="","OFF",OCD!S25="HC","C087",OCD!S25="M","C510",OCD!S25="E","C519",OCD!S25="C9","C678", TRUE,"")</f>
        <v>OFF</v>
      </c>
      <c r="S15" s="140" t="str" cm="1">
        <f t="array" ref="S15">_xlfn.IFS(OCD!T25="","OFF",OCD!T25="HC","C087",OCD!T25="M","C510",OCD!T25="E","C519",OCD!T25="C9","C678", TRUE,"")</f>
        <v>OFF</v>
      </c>
      <c r="T15" s="140" t="str" cm="1">
        <f t="array" ref="T15">_xlfn.IFS(OCD!U25="","OFF",OCD!U25="HC","C087",OCD!U25="M","C510",OCD!U25="E","C519",OCD!U25="C9","C678", TRUE,"")</f>
        <v>C510</v>
      </c>
      <c r="U15" s="140" t="str" cm="1">
        <f t="array" ref="U15">_xlfn.IFS(OCD!V25="","OFF",OCD!V25="HC","C087",OCD!V25="M","C510",OCD!V25="E","C519",OCD!V25="C9","C678", TRUE,"")</f>
        <v>C519</v>
      </c>
      <c r="V15" s="140" t="str" cm="1">
        <f t="array" ref="V15">_xlfn.IFS(OCD!W25="","OFF",OCD!W25="HC","C087",OCD!W25="M","C510",OCD!W25="E","C519",OCD!W25="C9","C678", TRUE,"")</f>
        <v>OFF</v>
      </c>
      <c r="W15" s="140" t="str" cm="1">
        <f t="array" ref="W15">_xlfn.IFS(OCD!X25="","OFF",OCD!X25="HC","C087",OCD!X25="M","C510",OCD!X25="E","C519",OCD!X25="C9","C678", TRUE,"")</f>
        <v>C510</v>
      </c>
      <c r="X15" s="140" t="str" cm="1">
        <f t="array" ref="X15">_xlfn.IFS(OCD!Y25="","OFF",OCD!Y25="HC","C087",OCD!Y25="M","C510",OCD!Y25="E","C519",OCD!Y25="C9","C678", TRUE,"")</f>
        <v>C510</v>
      </c>
      <c r="Y15" s="140" t="str" cm="1">
        <f t="array" ref="Y15">_xlfn.IFS(OCD!Z25="","OFF",OCD!Z25="HC","C087",OCD!Z25="M","C510",OCD!Z25="E","C519",OCD!Z25="C9","C678", TRUE,"")</f>
        <v>C519</v>
      </c>
      <c r="Z15" s="140" t="str" cm="1">
        <f t="array" ref="Z15">_xlfn.IFS(OCD!AA25="","OFF",OCD!AA25="HC","C087",OCD!AA25="M","C510",OCD!AA25="E","C519",OCD!AA25="C9","C678", TRUE,"")</f>
        <v>OFF</v>
      </c>
      <c r="AA15" s="140" t="str" cm="1">
        <f t="array" ref="AA15">_xlfn.IFS(OCD!AB25="","OFF",OCD!AB25="HC","C087",OCD!AB25="M","C510",OCD!AB25="E","C519",OCD!AB25="C9","C678", TRUE,"")</f>
        <v>C510</v>
      </c>
      <c r="AB15" s="140" t="str" cm="1">
        <f t="array" ref="AB15">_xlfn.IFS(OCD!AC25="","OFF",OCD!AC25="HC","C087",OCD!AC25="M","C510",OCD!AC25="E","C519",OCD!AC25="C9","C678", TRUE,"")</f>
        <v>C510</v>
      </c>
      <c r="AC15" s="140" t="str" cm="1">
        <f t="array" ref="AC15">_xlfn.IFS(OCD!AD25="","OFF",OCD!AD25="HC","C087",OCD!AD25="M","C510",OCD!AD25="E","C519",OCD!AD25="C9","C678", TRUE,"")</f>
        <v>C519</v>
      </c>
      <c r="AD15" s="140" t="str" cm="1">
        <f t="array" ref="AD15">_xlfn.IFS(OCD!AE25="","OFF",OCD!AE25="HC","C087",OCD!AE25="M","C510",OCD!AE25="E","C519",OCD!AE25="C9","C678", TRUE,"")</f>
        <v>OFF</v>
      </c>
      <c r="AE15" s="140" t="str" cm="1">
        <f t="array" ref="AE15">_xlfn.IFS(OCD!AF25="","OFF",OCD!AF25="HC","C087",OCD!AF25="M","C510",OCD!AF25="E","C519",OCD!AF25="C9","C678", TRUE,"")</f>
        <v>OFF</v>
      </c>
      <c r="AF15" s="140" t="str" cm="1">
        <f t="array" ref="AF15">_xlfn.IFS(OCD!AG25="","OFF",OCD!AG25="HC","C087",OCD!AG25="M","C510",OCD!AG25="E","C519",OCD!AG25="C9","C678", TRUE,"")</f>
        <v>C510</v>
      </c>
      <c r="AG15" s="140" t="str" cm="1">
        <f t="array" ref="AG15">_xlfn.IFS(OCD!AH25="","OFF",OCD!AH25="HC","C087",OCD!AH25="M","C510",OCD!AH25="E","C519",OCD!AH25="C9","C678", TRUE,"")</f>
        <v>C519</v>
      </c>
    </row>
    <row r="16" spans="1:33" x14ac:dyDescent="0.25">
      <c r="A16" s="138" t="s">
        <v>58</v>
      </c>
      <c r="B16" s="139" t="s">
        <v>59</v>
      </c>
      <c r="C16" s="140" t="str" cm="1">
        <f t="array" ref="C16">_xlfn.IFS(OCD!D26="","OFF",OCD!D26="HC","C087",OCD!D26="M","C510",OCD!D26="E","C519",OCD!D26="C9","C678", TRUE,"")</f>
        <v>OFF</v>
      </c>
      <c r="D16" s="140" t="str" cm="1">
        <f t="array" ref="D16">_xlfn.IFS(OCD!E26="","OFF",OCD!E26="HC","C087",OCD!E26="M","C510",OCD!E26="E","C519",OCD!E26="C9","C678", TRUE,"")</f>
        <v>C510</v>
      </c>
      <c r="E16" s="140" t="str" cm="1">
        <f t="array" ref="E16">_xlfn.IFS(OCD!F26="","OFF",OCD!F26="HC","C087",OCD!F26="M","C510",OCD!F26="E","C519",OCD!F26="C9","C678", TRUE,"")</f>
        <v>C510</v>
      </c>
      <c r="F16" s="140" t="str" cm="1">
        <f t="array" ref="F16">_xlfn.IFS(OCD!G26="","OFF",OCD!G26="HC","C087",OCD!G26="M","C510",OCD!G26="E","C519",OCD!G26="C9","C678", TRUE,"")</f>
        <v>C519</v>
      </c>
      <c r="G16" s="140" t="str" cm="1">
        <f t="array" ref="G16">_xlfn.IFS(OCD!H26="","OFF",OCD!H26="HC","C087",OCD!H26="M","C510",OCD!H26="E","C519",OCD!H26="C9","C678", TRUE,"")</f>
        <v>OFF</v>
      </c>
      <c r="H16" s="140" t="str" cm="1">
        <f t="array" ref="H16">_xlfn.IFS(OCD!I26="","OFF",OCD!I26="HC","C087",OCD!I26="M","C510",OCD!I26="E","C519",OCD!I26="C9","C678", TRUE,"")</f>
        <v>C510</v>
      </c>
      <c r="I16" s="140" t="str" cm="1">
        <f t="array" ref="I16">_xlfn.IFS(OCD!J26="","OFF",OCD!J26="HC","C087",OCD!J26="M","C510",OCD!J26="E","C519",OCD!J26="C9","C678", TRUE,"")</f>
        <v>C519</v>
      </c>
      <c r="J16" s="140" t="str" cm="1">
        <f t="array" ref="J16">_xlfn.IFS(OCD!K26="","OFF",OCD!K26="HC","C087",OCD!K26="M","C510",OCD!K26="E","C519",OCD!K26="C9","C678", TRUE,"")</f>
        <v>OFF</v>
      </c>
      <c r="K16" s="140" t="str" cm="1">
        <f t="array" ref="K16">_xlfn.IFS(OCD!L26="","OFF",OCD!L26="HC","C087",OCD!L26="M","C510",OCD!L26="E","C519",OCD!L26="C9","C678", TRUE,"")</f>
        <v>C519</v>
      </c>
      <c r="L16" s="140" t="str" cm="1">
        <f t="array" ref="L16">_xlfn.IFS(OCD!M26="","OFF",OCD!M26="HC","C087",OCD!M26="M","C510",OCD!M26="E","C519",OCD!M26="C9","C678", TRUE,"")</f>
        <v>OFF</v>
      </c>
      <c r="M16" s="140" t="str" cm="1">
        <f t="array" ref="M16">_xlfn.IFS(OCD!N26="","OFF",OCD!N26="HC","C087",OCD!N26="M","C510",OCD!N26="E","C519",OCD!N26="C9","C678", TRUE,"")</f>
        <v>C510</v>
      </c>
      <c r="N16" s="140" t="str" cm="1">
        <f t="array" ref="N16">_xlfn.IFS(OCD!O26="","OFF",OCD!O26="HC","C087",OCD!O26="M","C510",OCD!O26="E","C519",OCD!O26="C9","C678", TRUE,"")</f>
        <v>C510</v>
      </c>
      <c r="O16" s="140" t="str" cm="1">
        <f t="array" ref="O16">_xlfn.IFS(OCD!P26="","OFF",OCD!P26="HC","C087",OCD!P26="M","C510",OCD!P26="E","C519",OCD!P26="C9","C678", TRUE,"")</f>
        <v>C519</v>
      </c>
      <c r="P16" s="140" t="str" cm="1">
        <f t="array" ref="P16">_xlfn.IFS(OCD!Q26="","OFF",OCD!Q26="HC","C087",OCD!Q26="M","C510",OCD!Q26="E","C519",OCD!Q26="C9","C678", TRUE,"")</f>
        <v>OFF</v>
      </c>
      <c r="Q16" s="140" t="str" cm="1">
        <f t="array" ref="Q16">_xlfn.IFS(OCD!R26="","OFF",OCD!R26="HC","C087",OCD!R26="M","C510",OCD!R26="E","C519",OCD!R26="C9","C678", TRUE,"")</f>
        <v>C510</v>
      </c>
      <c r="R16" s="140" t="str" cm="1">
        <f t="array" ref="R16">_xlfn.IFS(OCD!S26="","OFF",OCD!S26="HC","C087",OCD!S26="M","C510",OCD!S26="E","C519",OCD!S26="C9","C678", TRUE,"")</f>
        <v>C519</v>
      </c>
      <c r="S16" s="140" t="str" cm="1">
        <f t="array" ref="S16">_xlfn.IFS(OCD!T26="","OFF",OCD!T26="HC","C087",OCD!T26="M","C510",OCD!T26="E","C519",OCD!T26="C9","C678", TRUE,"")</f>
        <v>C519</v>
      </c>
      <c r="T16" s="140" t="str" cm="1">
        <f t="array" ref="T16">_xlfn.IFS(OCD!U26="","OFF",OCD!U26="HC","C087",OCD!U26="M","C510",OCD!U26="E","C519",OCD!U26="C9","C678", TRUE,"")</f>
        <v>OFF</v>
      </c>
      <c r="U16" s="140" t="str" cm="1">
        <f t="array" ref="U16">_xlfn.IFS(OCD!V26="","OFF",OCD!V26="HC","C087",OCD!V26="M","C510",OCD!V26="E","C519",OCD!V26="C9","C678", TRUE,"")</f>
        <v>C519</v>
      </c>
      <c r="V16" s="140" t="str" cm="1">
        <f t="array" ref="V16">_xlfn.IFS(OCD!W26="","OFF",OCD!W26="HC","C087",OCD!W26="M","C510",OCD!W26="E","C519",OCD!W26="C9","C678", TRUE,"")</f>
        <v>C087</v>
      </c>
      <c r="W16" s="140" t="str" cm="1">
        <f t="array" ref="W16">_xlfn.IFS(OCD!X26="","OFF",OCD!X26="HC","C087",OCD!X26="M","C510",OCD!X26="E","C519",OCD!X26="C9","C678", TRUE,"")</f>
        <v>C519</v>
      </c>
      <c r="X16" s="140" t="str" cm="1">
        <f t="array" ref="X16">_xlfn.IFS(OCD!Y26="","OFF",OCD!Y26="HC","C087",OCD!Y26="M","C510",OCD!Y26="E","C519",OCD!Y26="C9","C678", TRUE,"")</f>
        <v>OFF</v>
      </c>
      <c r="Y16" s="140" t="str" cm="1">
        <f t="array" ref="Y16">_xlfn.IFS(OCD!Z26="","OFF",OCD!Z26="HC","C087",OCD!Z26="M","C510",OCD!Z26="E","C519",OCD!Z26="C9","C678", TRUE,"")</f>
        <v>OFF</v>
      </c>
      <c r="Z16" s="140" t="str" cm="1">
        <f t="array" ref="Z16">_xlfn.IFS(OCD!AA26="","OFF",OCD!AA26="HC","C087",OCD!AA26="M","C510",OCD!AA26="E","C519",OCD!AA26="C9","C678", TRUE,"")</f>
        <v>OFF</v>
      </c>
      <c r="AA16" s="140" t="str" cm="1">
        <f t="array" ref="AA16">_xlfn.IFS(OCD!AB26="","OFF",OCD!AB26="HC","C087",OCD!AB26="M","C510",OCD!AB26="E","C519",OCD!AB26="C9","C678", TRUE,"")</f>
        <v>OFF</v>
      </c>
      <c r="AB16" s="140" t="str" cm="1">
        <f t="array" ref="AB16">_xlfn.IFS(OCD!AC26="","OFF",OCD!AC26="HC","C087",OCD!AC26="M","C510",OCD!AC26="E","C519",OCD!AC26="C9","C678", TRUE,"")</f>
        <v>OFF</v>
      </c>
      <c r="AC16" s="140" t="str" cm="1">
        <f t="array" ref="AC16">_xlfn.IFS(OCD!AD26="","OFF",OCD!AD26="HC","C087",OCD!AD26="M","C510",OCD!AD26="E","C519",OCD!AD26="C9","C678", TRUE,"")</f>
        <v>C519</v>
      </c>
      <c r="AD16" s="140" t="str" cm="1">
        <f t="array" ref="AD16">_xlfn.IFS(OCD!AE26="","OFF",OCD!AE26="HC","C087",OCD!AE26="M","C510",OCD!AE26="E","C519",OCD!AE26="C9","C678", TRUE,"")</f>
        <v>C519</v>
      </c>
      <c r="AE16" s="140" t="str" cm="1">
        <f t="array" ref="AE16">_xlfn.IFS(OCD!AF26="","OFF",OCD!AF26="HC","C087",OCD!AF26="M","C510",OCD!AF26="E","C519",OCD!AF26="C9","C678", TRUE,"")</f>
        <v>OFF</v>
      </c>
      <c r="AF16" s="140" t="str" cm="1">
        <f t="array" ref="AF16">_xlfn.IFS(OCD!AG26="","OFF",OCD!AG26="HC","C087",OCD!AG26="M","C510",OCD!AG26="E","C519",OCD!AG26="C9","C678", TRUE,"")</f>
        <v>C510</v>
      </c>
      <c r="AG16" s="140" t="str" cm="1">
        <f t="array" ref="AG16">_xlfn.IFS(OCD!AH26="","OFF",OCD!AH26="HC","C087",OCD!AH26="M","C510",OCD!AH26="E","C519",OCD!AH26="C9","C678", TRUE,"")</f>
        <v>OFF</v>
      </c>
    </row>
    <row r="17" spans="1:33" x14ac:dyDescent="0.25">
      <c r="A17" s="138" t="s">
        <v>60</v>
      </c>
      <c r="B17" s="139" t="s">
        <v>61</v>
      </c>
      <c r="C17" s="140" t="str" cm="1">
        <f t="array" ref="C17">_xlfn.IFS(OCD!D27="","OFF",OCD!D27="HC","C087",OCD!D27="M","C510",OCD!D27="E","C519",OCD!D27="C9","C678", TRUE,"")</f>
        <v>C519</v>
      </c>
      <c r="D17" s="140" t="str" cm="1">
        <f t="array" ref="D17">_xlfn.IFS(OCD!E27="","OFF",OCD!E27="HC","C087",OCD!E27="M","C510",OCD!E27="E","C519",OCD!E27="C9","C678", TRUE,"")</f>
        <v>OFF</v>
      </c>
      <c r="E17" s="140" t="str" cm="1">
        <f t="array" ref="E17">_xlfn.IFS(OCD!F27="","OFF",OCD!F27="HC","C087",OCD!F27="M","C510",OCD!F27="E","C519",OCD!F27="C9","C678", TRUE,"")</f>
        <v>C519</v>
      </c>
      <c r="F17" s="140" t="str" cm="1">
        <f t="array" ref="F17">_xlfn.IFS(OCD!G27="","OFF",OCD!G27="HC","C087",OCD!G27="M","C510",OCD!G27="E","C519",OCD!G27="C9","C678", TRUE,"")</f>
        <v>OFF</v>
      </c>
      <c r="G17" s="140" t="str" cm="1">
        <f t="array" ref="G17">_xlfn.IFS(OCD!H27="","OFF",OCD!H27="HC","C087",OCD!H27="M","C510",OCD!H27="E","C519",OCD!H27="C9","C678", TRUE,"")</f>
        <v>C510</v>
      </c>
      <c r="H17" s="140" t="str" cm="1">
        <f t="array" ref="H17">_xlfn.IFS(OCD!I27="","OFF",OCD!I27="HC","C087",OCD!I27="M","C510",OCD!I27="E","C519",OCD!I27="C9","C678", TRUE,"")</f>
        <v>OFF</v>
      </c>
      <c r="I17" s="140" t="str" cm="1">
        <f t="array" ref="I17">_xlfn.IFS(OCD!J27="","OFF",OCD!J27="HC","C087",OCD!J27="M","C510",OCD!J27="E","C519",OCD!J27="C9","C678", TRUE,"")</f>
        <v>OFF</v>
      </c>
      <c r="J17" s="140" t="str" cm="1">
        <f t="array" ref="J17">_xlfn.IFS(OCD!K27="","OFF",OCD!K27="HC","C087",OCD!K27="M","C510",OCD!K27="E","C519",OCD!K27="C9","C678", TRUE,"")</f>
        <v>OFF</v>
      </c>
      <c r="K17" s="140" t="str" cm="1">
        <f t="array" ref="K17">_xlfn.IFS(OCD!L27="","OFF",OCD!L27="HC","C087",OCD!L27="M","C510",OCD!L27="E","C519",OCD!L27="C9","C678", TRUE,"")</f>
        <v>OFF</v>
      </c>
      <c r="L17" s="140" t="str" cm="1">
        <f t="array" ref="L17">_xlfn.IFS(OCD!M27="","OFF",OCD!M27="HC","C087",OCD!M27="M","C510",OCD!M27="E","C519",OCD!M27="C9","C678", TRUE,"")</f>
        <v>C519</v>
      </c>
      <c r="M17" s="140" t="str" cm="1">
        <f t="array" ref="M17">_xlfn.IFS(OCD!N27="","OFF",OCD!N27="HC","C087",OCD!N27="M","C510",OCD!N27="E","C519",OCD!N27="C9","C678", TRUE,"")</f>
        <v>C519</v>
      </c>
      <c r="N17" s="140" t="str" cm="1">
        <f t="array" ref="N17">_xlfn.IFS(OCD!O27="","OFF",OCD!O27="HC","C087",OCD!O27="M","C510",OCD!O27="E","C519",OCD!O27="C9","C678", TRUE,"")</f>
        <v>OFF</v>
      </c>
      <c r="O17" s="140" t="str" cm="1">
        <f t="array" ref="O17">_xlfn.IFS(OCD!P27="","OFF",OCD!P27="HC","C087",OCD!P27="M","C510",OCD!P27="E","C519",OCD!P27="C9","C678", TRUE,"")</f>
        <v>C519</v>
      </c>
      <c r="P17" s="140" t="str" cm="1">
        <f t="array" ref="P17">_xlfn.IFS(OCD!Q27="","OFF",OCD!Q27="HC","C087",OCD!Q27="M","C510",OCD!Q27="E","C519",OCD!Q27="C9","C678", TRUE,"")</f>
        <v>C519</v>
      </c>
      <c r="Q17" s="140" t="str" cm="1">
        <f t="array" ref="Q17">_xlfn.IFS(OCD!R27="","OFF",OCD!R27="HC","C087",OCD!R27="M","C510",OCD!R27="E","C519",OCD!R27="C9","C678", TRUE,"")</f>
        <v>OFF</v>
      </c>
      <c r="R17" s="140" t="str" cm="1">
        <f t="array" ref="R17">_xlfn.IFS(OCD!S27="","OFF",OCD!S27="HC","C087",OCD!S27="M","C510",OCD!S27="E","C519",OCD!S27="C9","C678", TRUE,"")</f>
        <v>C519</v>
      </c>
      <c r="S17" s="140" t="str" cm="1">
        <f t="array" ref="S17">_xlfn.IFS(OCD!T27="","OFF",OCD!T27="HC","C087",OCD!T27="M","C510",OCD!T27="E","C519",OCD!T27="C9","C678", TRUE,"")</f>
        <v>OFF</v>
      </c>
      <c r="T17" s="140" t="str" cm="1">
        <f t="array" ref="T17">_xlfn.IFS(OCD!U27="","OFF",OCD!U27="HC","C087",OCD!U27="M","C510",OCD!U27="E","C519",OCD!U27="C9","C678", TRUE,"")</f>
        <v>C087</v>
      </c>
      <c r="U17" s="140" t="str" cm="1">
        <f t="array" ref="U17">_xlfn.IFS(OCD!V27="","OFF",OCD!V27="HC","C087",OCD!V27="M","C510",OCD!V27="E","C519",OCD!V27="C9","C678", TRUE,"")</f>
        <v>C510</v>
      </c>
      <c r="V17" s="140" t="str" cm="1">
        <f t="array" ref="V17">_xlfn.IFS(OCD!W27="","OFF",OCD!W27="HC","C087",OCD!W27="M","C510",OCD!W27="E","C519",OCD!W27="C9","C678", TRUE,"")</f>
        <v>C519</v>
      </c>
      <c r="W17" s="140" t="str" cm="1">
        <f t="array" ref="W17">_xlfn.IFS(OCD!X27="","OFF",OCD!X27="HC","C087",OCD!X27="M","C510",OCD!X27="E","C519",OCD!X27="C9","C678", TRUE,"")</f>
        <v>OFF</v>
      </c>
      <c r="X17" s="140" t="str" cm="1">
        <f t="array" ref="X17">_xlfn.IFS(OCD!Y27="","OFF",OCD!Y27="HC","C087",OCD!Y27="M","C510",OCD!Y27="E","C519",OCD!Y27="C9","C678", TRUE,"")</f>
        <v>C519</v>
      </c>
      <c r="Y17" s="140" t="str" cm="1">
        <f t="array" ref="Y17">_xlfn.IFS(OCD!Z27="","OFF",OCD!Z27="HC","C087",OCD!Z27="M","C510",OCD!Z27="E","C519",OCD!Z27="C9","C678", TRUE,"")</f>
        <v>C519</v>
      </c>
      <c r="Z17" s="140" t="str" cm="1">
        <f t="array" ref="Z17">_xlfn.IFS(OCD!AA27="","OFF",OCD!AA27="HC","C087",OCD!AA27="M","C510",OCD!AA27="E","C519",OCD!AA27="C9","C678", TRUE,"")</f>
        <v>OFF</v>
      </c>
      <c r="AA17" s="140" t="str" cm="1">
        <f t="array" ref="AA17">_xlfn.IFS(OCD!AB27="","OFF",OCD!AB27="HC","C087",OCD!AB27="M","C510",OCD!AB27="E","C519",OCD!AB27="C9","C678", TRUE,"")</f>
        <v>C510</v>
      </c>
      <c r="AB17" s="140" t="str" cm="1">
        <f t="array" ref="AB17">_xlfn.IFS(OCD!AC27="","OFF",OCD!AC27="HC","C087",OCD!AC27="M","C510",OCD!AC27="E","C519",OCD!AC27="C9","C678", TRUE,"")</f>
        <v>C510</v>
      </c>
      <c r="AC17" s="140" t="str" cm="1">
        <f t="array" ref="AC17">_xlfn.IFS(OCD!AD27="","OFF",OCD!AD27="HC","C087",OCD!AD27="M","C510",OCD!AD27="E","C519",OCD!AD27="C9","C678", TRUE,"")</f>
        <v>C510</v>
      </c>
      <c r="AD17" s="140" t="str" cm="1">
        <f t="array" ref="AD17">_xlfn.IFS(OCD!AE27="","OFF",OCD!AE27="HC","C087",OCD!AE27="M","C510",OCD!AE27="E","C519",OCD!AE27="C9","C678", TRUE,"")</f>
        <v>OFF</v>
      </c>
      <c r="AE17" s="140" t="str" cm="1">
        <f t="array" ref="AE17">_xlfn.IFS(OCD!AF27="","OFF",OCD!AF27="HC","C087",OCD!AF27="M","C510",OCD!AF27="E","C519",OCD!AF27="C9","C678", TRUE,"")</f>
        <v>C519</v>
      </c>
      <c r="AF17" s="140" t="str" cm="1">
        <f t="array" ref="AF17">_xlfn.IFS(OCD!AG27="","OFF",OCD!AG27="HC","C087",OCD!AG27="M","C510",OCD!AG27="E","C519",OCD!AG27="C9","C678", TRUE,"")</f>
        <v>C519</v>
      </c>
      <c r="AG17" s="140" t="str" cm="1">
        <f t="array" ref="AG17">_xlfn.IFS(OCD!AH27="","OFF",OCD!AH27="HC","C087",OCD!AH27="M","C510",OCD!AH27="E","C519",OCD!AH27="C9","C678", TRUE,"")</f>
        <v>OFF</v>
      </c>
    </row>
    <row r="18" spans="1:33" x14ac:dyDescent="0.25">
      <c r="A18" s="138" t="s">
        <v>62</v>
      </c>
      <c r="B18" s="139" t="s">
        <v>63</v>
      </c>
      <c r="C18" s="140" t="str" cm="1">
        <f t="array" ref="C18">_xlfn.IFS(OCD!D28="","OFF",OCD!D28="HC","C087",OCD!D28="M","C510",OCD!D28="E","C519",OCD!D28="C9","C678", TRUE,"")</f>
        <v>OFF</v>
      </c>
      <c r="D18" s="140" t="str" cm="1">
        <f t="array" ref="D18">_xlfn.IFS(OCD!E28="","OFF",OCD!E28="HC","C087",OCD!E28="M","C510",OCD!E28="E","C519",OCD!E28="C9","C678", TRUE,"")</f>
        <v>OFF</v>
      </c>
      <c r="E18" s="140" t="str" cm="1">
        <f t="array" ref="E18">_xlfn.IFS(OCD!F28="","OFF",OCD!F28="HC","C087",OCD!F28="M","C510",OCD!F28="E","C519",OCD!F28="C9","C678", TRUE,"")</f>
        <v>OFF</v>
      </c>
      <c r="F18" s="140" t="str" cm="1">
        <f t="array" ref="F18">_xlfn.IFS(OCD!G28="","OFF",OCD!G28="HC","C087",OCD!G28="M","C510",OCD!G28="E","C519",OCD!G28="C9","C678", TRUE,"")</f>
        <v>C510</v>
      </c>
      <c r="G18" s="140" t="str" cm="1">
        <f t="array" ref="G18">_xlfn.IFS(OCD!H28="","OFF",OCD!H28="HC","C087",OCD!H28="M","C510",OCD!H28="E","C519",OCD!H28="C9","C678", TRUE,"")</f>
        <v>C519</v>
      </c>
      <c r="H18" s="140" t="str" cm="1">
        <f t="array" ref="H18">_xlfn.IFS(OCD!I28="","OFF",OCD!I28="HC","C087",OCD!I28="M","C510",OCD!I28="E","C519",OCD!I28="C9","C678", TRUE,"")</f>
        <v>C519</v>
      </c>
      <c r="I18" s="140" t="str" cm="1">
        <f t="array" ref="I18">_xlfn.IFS(OCD!J28="","OFF",OCD!J28="HC","C087",OCD!J28="M","C510",OCD!J28="E","C519",OCD!J28="C9","C678", TRUE,"")</f>
        <v>OFF</v>
      </c>
      <c r="J18" s="140" t="str" cm="1">
        <f t="array" ref="J18">_xlfn.IFS(OCD!K28="","OFF",OCD!K28="HC","C087",OCD!K28="M","C510",OCD!K28="E","C519",OCD!K28="C9","C678", TRUE,"")</f>
        <v>C510</v>
      </c>
      <c r="K18" s="140" t="str" cm="1">
        <f t="array" ref="K18">_xlfn.IFS(OCD!L28="","OFF",OCD!L28="HC","C087",OCD!L28="M","C510",OCD!L28="E","C519",OCD!L28="C9","C678", TRUE,"")</f>
        <v>C510</v>
      </c>
      <c r="L18" s="140" t="str" cm="1">
        <f t="array" ref="L18">_xlfn.IFS(OCD!M28="","OFF",OCD!M28="HC","C087",OCD!M28="M","C510",OCD!M28="E","C519",OCD!M28="C9","C678", TRUE,"")</f>
        <v>C510</v>
      </c>
      <c r="M18" s="140" t="str" cm="1">
        <f t="array" ref="M18">_xlfn.IFS(OCD!N28="","OFF",OCD!N28="HC","C087",OCD!N28="M","C510",OCD!N28="E","C519",OCD!N28="C9","C678", TRUE,"")</f>
        <v>C087</v>
      </c>
      <c r="N18" s="140" t="str" cm="1">
        <f t="array" ref="N18">_xlfn.IFS(OCD!O28="","OFF",OCD!O28="HC","C087",OCD!O28="M","C510",OCD!O28="E","C519",OCD!O28="C9","C678", TRUE,"")</f>
        <v>C519</v>
      </c>
      <c r="O18" s="140" t="str" cm="1">
        <f t="array" ref="O18">_xlfn.IFS(OCD!P28="","OFF",OCD!P28="HC","C087",OCD!P28="M","C510",OCD!P28="E","C519",OCD!P28="C9","C678", TRUE,"")</f>
        <v>OFF</v>
      </c>
      <c r="P18" s="140" t="str" cm="1">
        <f t="array" ref="P18">_xlfn.IFS(OCD!Q28="","OFF",OCD!Q28="HC","C087",OCD!Q28="M","C510",OCD!Q28="E","C519",OCD!Q28="C9","C678", TRUE,"")</f>
        <v>C510</v>
      </c>
      <c r="Q18" s="140" t="str" cm="1">
        <f t="array" ref="Q18">_xlfn.IFS(OCD!R28="","OFF",OCD!R28="HC","C087",OCD!R28="M","C510",OCD!R28="E","C519",OCD!R28="C9","C678", TRUE,"")</f>
        <v>C519</v>
      </c>
      <c r="R18" s="140" t="str" cm="1">
        <f t="array" ref="R18">_xlfn.IFS(OCD!S28="","OFF",OCD!S28="HC","C087",OCD!S28="M","C510",OCD!S28="E","C519",OCD!S28="C9","C678", TRUE,"")</f>
        <v>OFF</v>
      </c>
      <c r="S18" s="140" t="str" cm="1">
        <f t="array" ref="S18">_xlfn.IFS(OCD!T28="","OFF",OCD!T28="HC","C087",OCD!T28="M","C510",OCD!T28="E","C519",OCD!T28="C9","C678", TRUE,"")</f>
        <v>C510</v>
      </c>
      <c r="T18" s="140" t="str" cm="1">
        <f t="array" ref="T18">_xlfn.IFS(OCD!U28="","OFF",OCD!U28="HC","C087",OCD!U28="M","C510",OCD!U28="E","C519",OCD!U28="C9","C678", TRUE,"")</f>
        <v>C519</v>
      </c>
      <c r="U18" s="140" t="str" cm="1">
        <f t="array" ref="U18">_xlfn.IFS(OCD!V28="","OFF",OCD!V28="HC","C087",OCD!V28="M","C510",OCD!V28="E","C519",OCD!V28="C9","C678", TRUE,"")</f>
        <v>OFF</v>
      </c>
      <c r="V18" s="140" t="str" cm="1">
        <f t="array" ref="V18">_xlfn.IFS(OCD!W28="","OFF",OCD!W28="HC","C087",OCD!W28="M","C510",OCD!W28="E","C519",OCD!W28="C9","C678", TRUE,"")</f>
        <v>C510</v>
      </c>
      <c r="W18" s="140" t="str" cm="1">
        <f t="array" ref="W18">_xlfn.IFS(OCD!X28="","OFF",OCD!X28="HC","C087",OCD!X28="M","C510",OCD!X28="E","C519",OCD!X28="C9","C678", TRUE,"")</f>
        <v>C510</v>
      </c>
      <c r="X18" s="140" t="str" cm="1">
        <f t="array" ref="X18">_xlfn.IFS(OCD!Y28="","OFF",OCD!Y28="HC","C087",OCD!Y28="M","C510",OCD!Y28="E","C519",OCD!Y28="C9","C678", TRUE,"")</f>
        <v>C510</v>
      </c>
      <c r="Y18" s="140" t="str" cm="1">
        <f t="array" ref="Y18">_xlfn.IFS(OCD!Z28="","OFF",OCD!Z28="HC","C087",OCD!Z28="M","C510",OCD!Z28="E","C519",OCD!Z28="C9","C678", TRUE,"")</f>
        <v>OFF</v>
      </c>
      <c r="Z18" s="140" t="str" cm="1">
        <f t="array" ref="Z18">_xlfn.IFS(OCD!AA28="","OFF",OCD!AA28="HC","C087",OCD!AA28="M","C510",OCD!AA28="E","C519",OCD!AA28="C9","C678", TRUE,"")</f>
        <v>C510</v>
      </c>
      <c r="AA18" s="140" t="str" cm="1">
        <f t="array" ref="AA18">_xlfn.IFS(OCD!AB28="","OFF",OCD!AB28="HC","C087",OCD!AB28="M","C510",OCD!AB28="E","C519",OCD!AB28="C9","C678", TRUE,"")</f>
        <v>C519</v>
      </c>
      <c r="AB18" s="140" t="str" cm="1">
        <f t="array" ref="AB18">_xlfn.IFS(OCD!AC28="","OFF",OCD!AC28="HC","C087",OCD!AC28="M","C510",OCD!AC28="E","C519",OCD!AC28="C9","C678", TRUE,"")</f>
        <v>OFF</v>
      </c>
      <c r="AC18" s="140" t="str" cm="1">
        <f t="array" ref="AC18">_xlfn.IFS(OCD!AD28="","OFF",OCD!AD28="HC","C087",OCD!AD28="M","C510",OCD!AD28="E","C519",OCD!AD28="C9","C678", TRUE,"")</f>
        <v>OFF</v>
      </c>
      <c r="AD18" s="140" t="str" cm="1">
        <f t="array" ref="AD18">_xlfn.IFS(OCD!AE28="","OFF",OCD!AE28="HC","C087",OCD!AE28="M","C510",OCD!AE28="E","C519",OCD!AE28="C9","C678", TRUE,"")</f>
        <v>OFF</v>
      </c>
      <c r="AE18" s="140" t="str" cm="1">
        <f t="array" ref="AE18">_xlfn.IFS(OCD!AF28="","OFF",OCD!AF28="HC","C087",OCD!AF28="M","C510",OCD!AF28="E","C519",OCD!AF28="C9","C678", TRUE,"")</f>
        <v>OFF</v>
      </c>
      <c r="AF18" s="140" t="str" cm="1">
        <f t="array" ref="AF18">_xlfn.IFS(OCD!AG28="","OFF",OCD!AG28="HC","C087",OCD!AG28="M","C510",OCD!AG28="E","C519",OCD!AG28="C9","C678", TRUE,"")</f>
        <v>OFF</v>
      </c>
      <c r="AG18" s="140" t="str" cm="1">
        <f t="array" ref="AG18">_xlfn.IFS(OCD!AH28="","OFF",OCD!AH28="HC","C087",OCD!AH28="M","C510",OCD!AH28="E","C519",OCD!AH28="C9","C678", TRUE,"")</f>
        <v>C519</v>
      </c>
    </row>
    <row r="19" spans="1:33" x14ac:dyDescent="0.25">
      <c r="A19" s="138" t="s">
        <v>64</v>
      </c>
      <c r="B19" s="139" t="s">
        <v>65</v>
      </c>
      <c r="C19" s="140" t="str" cm="1">
        <f t="array" ref="C19">_xlfn.IFS(OCD!D29="","OFF",OCD!D29="HC","C087",OCD!D29="M","C510",OCD!D29="E","C519",OCD!D29="C9","C678", TRUE,"")</f>
        <v>C510</v>
      </c>
      <c r="D19" s="140" t="str" cm="1">
        <f t="array" ref="D19">_xlfn.IFS(OCD!E29="","OFF",OCD!E29="HC","C087",OCD!E29="M","C510",OCD!E29="E","C519",OCD!E29="C9","C678", TRUE,"")</f>
        <v>C519</v>
      </c>
      <c r="E19" s="140" t="str" cm="1">
        <f t="array" ref="E19">_xlfn.IFS(OCD!F29="","OFF",OCD!F29="HC","C087",OCD!F29="M","C510",OCD!F29="E","C519",OCD!F29="C9","C678", TRUE,"")</f>
        <v>OFF</v>
      </c>
      <c r="F19" s="140" t="str" cm="1">
        <f t="array" ref="F19">_xlfn.IFS(OCD!G29="","OFF",OCD!G29="HC","C087",OCD!G29="M","C510",OCD!G29="E","C519",OCD!G29="C9","C678", TRUE,"")</f>
        <v>C087</v>
      </c>
      <c r="G19" s="140" t="str" cm="1">
        <f t="array" ref="G19">_xlfn.IFS(OCD!H29="","OFF",OCD!H29="HC","C087",OCD!H29="M","C510",OCD!H29="E","C519",OCD!H29="C9","C678", TRUE,"")</f>
        <v>OFF</v>
      </c>
      <c r="H19" s="140" t="str" cm="1">
        <f t="array" ref="H19">_xlfn.IFS(OCD!I29="","OFF",OCD!I29="HC","C087",OCD!I29="M","C510",OCD!I29="E","C519",OCD!I29="C9","C678", TRUE,"")</f>
        <v>C510</v>
      </c>
      <c r="I19" s="140" t="str" cm="1">
        <f t="array" ref="I19">_xlfn.IFS(OCD!J29="","OFF",OCD!J29="HC","C087",OCD!J29="M","C510",OCD!J29="E","C519",OCD!J29="C9","C678", TRUE,"")</f>
        <v>C510</v>
      </c>
      <c r="J19" s="140" t="str" cm="1">
        <f t="array" ref="J19">_xlfn.IFS(OCD!K29="","OFF",OCD!K29="HC","C087",OCD!K29="M","C510",OCD!K29="E","C519",OCD!K29="C9","C678", TRUE,"")</f>
        <v>C519</v>
      </c>
      <c r="K19" s="140" t="str" cm="1">
        <f t="array" ref="K19">_xlfn.IFS(OCD!L29="","OFF",OCD!L29="HC","C087",OCD!L29="M","C510",OCD!L29="E","C519",OCD!L29="C9","C678", TRUE,"")</f>
        <v>OFF</v>
      </c>
      <c r="L19" s="140" t="str" cm="1">
        <f t="array" ref="L19">_xlfn.IFS(OCD!M29="","OFF",OCD!M29="HC","C087",OCD!M29="M","C510",OCD!M29="E","C519",OCD!M29="C9","C678", TRUE,"")</f>
        <v>C510</v>
      </c>
      <c r="M19" s="140" t="str" cm="1">
        <f t="array" ref="M19">_xlfn.IFS(OCD!N29="","OFF",OCD!N29="HC","C087",OCD!N29="M","C510",OCD!N29="E","C519",OCD!N29="C9","C678", TRUE,"")</f>
        <v>OFF</v>
      </c>
      <c r="N19" s="140" t="str" cm="1">
        <f t="array" ref="N19">_xlfn.IFS(OCD!O29="","OFF",OCD!O29="HC","C087",OCD!O29="M","C510",OCD!O29="E","C519",OCD!O29="C9","C678", TRUE,"")</f>
        <v>OFF</v>
      </c>
      <c r="O19" s="140" t="str" cm="1">
        <f t="array" ref="O19">_xlfn.IFS(OCD!P29="","OFF",OCD!P29="HC","C087",OCD!P29="M","C510",OCD!P29="E","C519",OCD!P29="C9","C678", TRUE,"")</f>
        <v>C510</v>
      </c>
      <c r="P19" s="140" t="str" cm="1">
        <f t="array" ref="P19">_xlfn.IFS(OCD!Q29="","OFF",OCD!Q29="HC","C087",OCD!Q29="M","C510",OCD!Q29="E","C519",OCD!Q29="C9","C678", TRUE,"")</f>
        <v>OFF</v>
      </c>
      <c r="Q19" s="140" t="str" cm="1">
        <f t="array" ref="Q19">_xlfn.IFS(OCD!R29="","OFF",OCD!R29="HC","C087",OCD!R29="M","C510",OCD!R29="E","C519",OCD!R29="C9","C678", TRUE,"")</f>
        <v>C510</v>
      </c>
      <c r="R19" s="140" t="str" cm="1">
        <f t="array" ref="R19">_xlfn.IFS(OCD!S29="","OFF",OCD!S29="HC","C087",OCD!S29="M","C510",OCD!S29="E","C519",OCD!S29="C9","C678", TRUE,"")</f>
        <v>C510</v>
      </c>
      <c r="S19" s="140" t="str" cm="1">
        <f t="array" ref="S19">_xlfn.IFS(OCD!T29="","OFF",OCD!T29="HC","C087",OCD!T29="M","C510",OCD!T29="E","C519",OCD!T29="C9","C678", TRUE,"")</f>
        <v>OFF</v>
      </c>
      <c r="T19" s="140" t="str" cm="1">
        <f t="array" ref="T19">_xlfn.IFS(OCD!U29="","OFF",OCD!U29="HC","C087",OCD!U29="M","C510",OCD!U29="E","C519",OCD!U29="C9","C678", TRUE,"")</f>
        <v>C510</v>
      </c>
      <c r="U19" s="140" t="str" cm="1">
        <f t="array" ref="U19">_xlfn.IFS(OCD!V29="","OFF",OCD!V29="HC","C087",OCD!V29="M","C510",OCD!V29="E","C519",OCD!V29="C9","C678", TRUE,"")</f>
        <v>OFF</v>
      </c>
      <c r="V19" s="140" t="str" cm="1">
        <f t="array" ref="V19">_xlfn.IFS(OCD!W29="","OFF",OCD!W29="HC","C087",OCD!W29="M","C510",OCD!W29="E","C519",OCD!W29="C9","C678", TRUE,"")</f>
        <v>OFF</v>
      </c>
      <c r="W19" s="140" t="str" cm="1">
        <f t="array" ref="W19">_xlfn.IFS(OCD!X29="","OFF",OCD!X29="HC","C087",OCD!X29="M","C510",OCD!X29="E","C519",OCD!X29="C9","C678", TRUE,"")</f>
        <v>C519</v>
      </c>
      <c r="X19" s="140" t="str" cm="1">
        <f t="array" ref="X19">_xlfn.IFS(OCD!Y29="","OFF",OCD!Y29="HC","C087",OCD!Y29="M","C510",OCD!Y29="E","C519",OCD!Y29="C9","C678", TRUE,"")</f>
        <v>OFF</v>
      </c>
      <c r="Y19" s="140" t="str" cm="1">
        <f t="array" ref="Y19">_xlfn.IFS(OCD!Z29="","OFF",OCD!Z29="HC","C087",OCD!Z29="M","C510",OCD!Z29="E","C519",OCD!Z29="C9","C678", TRUE,"")</f>
        <v>C510</v>
      </c>
      <c r="Z19" s="140" t="str" cm="1">
        <f t="array" ref="Z19">_xlfn.IFS(OCD!AA29="","OFF",OCD!AA29="HC","C087",OCD!AA29="M","C510",OCD!AA29="E","C519",OCD!AA29="C9","C678", TRUE,"")</f>
        <v>C519</v>
      </c>
      <c r="AA19" s="140" t="str" cm="1">
        <f t="array" ref="AA19">_xlfn.IFS(OCD!AB29="","OFF",OCD!AB29="HC","C087",OCD!AB29="M","C510",OCD!AB29="E","C519",OCD!AB29="C9","C678", TRUE,"")</f>
        <v>OFF</v>
      </c>
      <c r="AB19" s="140" t="str" cm="1">
        <f t="array" ref="AB19">_xlfn.IFS(OCD!AC29="","OFF",OCD!AC29="HC","C087",OCD!AC29="M","C510",OCD!AC29="E","C519",OCD!AC29="C9","C678", TRUE,"")</f>
        <v>C519</v>
      </c>
      <c r="AC19" s="140" t="str" cm="1">
        <f t="array" ref="AC19">_xlfn.IFS(OCD!AD29="","OFF",OCD!AD29="HC","C087",OCD!AD29="M","C510",OCD!AD29="E","C519",OCD!AD29="C9","C678", TRUE,"")</f>
        <v>OFF</v>
      </c>
      <c r="AD19" s="140" t="str" cm="1">
        <f t="array" ref="AD19">_xlfn.IFS(OCD!AE29="","OFF",OCD!AE29="HC","C087",OCD!AE29="M","C510",OCD!AE29="E","C519",OCD!AE29="C9","C678", TRUE,"")</f>
        <v>C510</v>
      </c>
      <c r="AE19" s="140" t="str" cm="1">
        <f t="array" ref="AE19">_xlfn.IFS(OCD!AF29="","OFF",OCD!AF29="HC","C087",OCD!AF29="M","C510",OCD!AF29="E","C519",OCD!AF29="C9","C678", TRUE,"")</f>
        <v>C510</v>
      </c>
      <c r="AF19" s="140" t="str" cm="1">
        <f t="array" ref="AF19">_xlfn.IFS(OCD!AG29="","OFF",OCD!AG29="HC","C087",OCD!AG29="M","C510",OCD!AG29="E","C519",OCD!AG29="C9","C678", TRUE,"")</f>
        <v>OFF</v>
      </c>
      <c r="AG19" s="140" t="str" cm="1">
        <f t="array" ref="AG19">_xlfn.IFS(OCD!AH29="","OFF",OCD!AH29="HC","C087",OCD!AH29="M","C510",OCD!AH29="E","C519",OCD!AH29="C9","C678", TRUE,"")</f>
        <v>C510</v>
      </c>
    </row>
    <row r="20" spans="1:33" x14ac:dyDescent="0.25">
      <c r="A20" s="138" t="s">
        <v>90</v>
      </c>
      <c r="B20" s="139" t="s">
        <v>93</v>
      </c>
      <c r="C20" s="140" t="str" cm="1">
        <f t="array" ref="C20">_xlfn.IFS(OCD!D30="","OFF",OCD!D30="HC","C087",OCD!D30="M","C510",OCD!D30="E","C519",OCD!D30="C9","C678", TRUE,"")</f>
        <v>OFF</v>
      </c>
      <c r="D20" s="140" t="str" cm="1">
        <f t="array" ref="D20">_xlfn.IFS(OCD!E30="","OFF",OCD!E30="HC","C087",OCD!E30="M","C510",OCD!E30="E","C519",OCD!E30="C9","C678", TRUE,"")</f>
        <v>C087</v>
      </c>
      <c r="E20" s="140" t="str" cm="1">
        <f t="array" ref="E20">_xlfn.IFS(OCD!F30="","OFF",OCD!F30="HC","C087",OCD!F30="M","C510",OCD!F30="E","C519",OCD!F30="C9","C678", TRUE,"")</f>
        <v>C087</v>
      </c>
      <c r="F20" s="140" t="str" cm="1">
        <f t="array" ref="F20">_xlfn.IFS(OCD!G30="","OFF",OCD!G30="HC","C087",OCD!G30="M","C510",OCD!G30="E","C519",OCD!G30="C9","C678", TRUE,"")</f>
        <v>C087</v>
      </c>
      <c r="G20" s="140" t="str" cm="1">
        <f t="array" ref="G20">_xlfn.IFS(OCD!H30="","OFF",OCD!H30="HC","C087",OCD!H30="M","C510",OCD!H30="E","C519",OCD!H30="C9","C678", TRUE,"")</f>
        <v>OFF</v>
      </c>
      <c r="H20" s="140" t="str" cm="1">
        <f t="array" ref="H20">_xlfn.IFS(OCD!I30="","OFF",OCD!I30="HC","C087",OCD!I30="M","C510",OCD!I30="E","C519",OCD!I30="C9","C678", TRUE,"")</f>
        <v>C087</v>
      </c>
      <c r="I20" s="140" t="str" cm="1">
        <f t="array" ref="I20">_xlfn.IFS(OCD!J30="","OFF",OCD!J30="HC","C087",OCD!J30="M","C510",OCD!J30="E","C519",OCD!J30="C9","C678", TRUE,"")</f>
        <v>C510</v>
      </c>
      <c r="J20" s="140" t="str" cm="1">
        <f t="array" ref="J20">_xlfn.IFS(OCD!K30="","OFF",OCD!K30="HC","C087",OCD!K30="M","C510",OCD!K30="E","C519",OCD!K30="C9","C678", TRUE,"")</f>
        <v>OFF</v>
      </c>
      <c r="K20" s="140" t="str" cm="1">
        <f t="array" ref="K20">_xlfn.IFS(OCD!L30="","OFF",OCD!L30="HC","C087",OCD!L30="M","C510",OCD!L30="E","C519",OCD!L30="C9","C678", TRUE,"")</f>
        <v>C678</v>
      </c>
      <c r="L20" s="140" t="str" cm="1">
        <f t="array" ref="L20">_xlfn.IFS(OCD!M30="","OFF",OCD!M30="HC","C087",OCD!M30="M","C510",OCD!M30="E","C519",OCD!M30="C9","C678", TRUE,"")</f>
        <v>C678</v>
      </c>
      <c r="M20" s="140" t="str" cm="1">
        <f t="array" ref="M20">_xlfn.IFS(OCD!N30="","OFF",OCD!N30="HC","C087",OCD!N30="M","C510",OCD!N30="E","C519",OCD!N30="C9","C678", TRUE,"")</f>
        <v>OFF</v>
      </c>
      <c r="N20" s="140" t="str" cm="1">
        <f t="array" ref="N20">_xlfn.IFS(OCD!O30="","OFF",OCD!O30="HC","C087",OCD!O30="M","C510",OCD!O30="E","C519",OCD!O30="C9","C678", TRUE,"")</f>
        <v>C519</v>
      </c>
      <c r="O20" s="140" t="str" cm="1">
        <f t="array" ref="O20">_xlfn.IFS(OCD!P30="","OFF",OCD!P30="HC","C087",OCD!P30="M","C510",OCD!P30="E","C519",OCD!P30="C9","C678", TRUE,"")</f>
        <v>OFF</v>
      </c>
      <c r="P20" s="140" t="str" cm="1">
        <f t="array" ref="P20">_xlfn.IFS(OCD!Q30="","OFF",OCD!Q30="HC","C087",OCD!Q30="M","C510",OCD!Q30="E","C519",OCD!Q30="C9","C678", TRUE,"")</f>
        <v>C510</v>
      </c>
      <c r="Q20" s="140" t="str" cm="1">
        <f t="array" ref="Q20">_xlfn.IFS(OCD!R30="","OFF",OCD!R30="HC","C087",OCD!R30="M","C510",OCD!R30="E","C519",OCD!R30="C9","C678", TRUE,"")</f>
        <v>OFF</v>
      </c>
      <c r="R20" s="140" t="str" cm="1">
        <f t="array" ref="R20">_xlfn.IFS(OCD!S30="","OFF",OCD!S30="HC","C087",OCD!S30="M","C510",OCD!S30="E","C519",OCD!S30="C9","C678", TRUE,"")</f>
        <v>C678</v>
      </c>
      <c r="S20" s="140" t="str" cm="1">
        <f t="array" ref="S20">_xlfn.IFS(OCD!T30="","OFF",OCD!T30="HC","C087",OCD!T30="M","C510",OCD!T30="E","C519",OCD!T30="C9","C678", TRUE,"")</f>
        <v>OFF</v>
      </c>
      <c r="T20" s="140" t="str" cm="1">
        <f t="array" ref="T20">_xlfn.IFS(OCD!U30="","OFF",OCD!U30="HC","C087",OCD!U30="M","C510",OCD!U30="E","C519",OCD!U30="C9","C678", TRUE,"")</f>
        <v>C510</v>
      </c>
      <c r="U20" s="140" t="str" cm="1">
        <f t="array" ref="U20">_xlfn.IFS(OCD!V30="","OFF",OCD!V30="HC","C087",OCD!V30="M","C510",OCD!V30="E","C519",OCD!V30="C9","C678", TRUE,"")</f>
        <v>C519</v>
      </c>
      <c r="V20" s="140" t="str" cm="1">
        <f t="array" ref="V20">_xlfn.IFS(OCD!W30="","OFF",OCD!W30="HC","C087",OCD!W30="M","C510",OCD!W30="E","C519",OCD!W30="C9","C678", TRUE,"")</f>
        <v>OFF</v>
      </c>
      <c r="W20" s="140" t="str" cm="1">
        <f t="array" ref="W20">_xlfn.IFS(OCD!X30="","OFF",OCD!X30="HC","C087",OCD!X30="M","C510",OCD!X30="E","C519",OCD!X30="C9","C678", TRUE,"")</f>
        <v>C510</v>
      </c>
      <c r="X20" s="140" t="str" cm="1">
        <f t="array" ref="X20">_xlfn.IFS(OCD!Y30="","OFF",OCD!Y30="HC","C087",OCD!Y30="M","C510",OCD!Y30="E","C519",OCD!Y30="C9","C678", TRUE,"")</f>
        <v>OFF</v>
      </c>
      <c r="Y20" s="140" t="str" cm="1">
        <f t="array" ref="Y20">_xlfn.IFS(OCD!Z30="","OFF",OCD!Z30="HC","C087",OCD!Z30="M","C510",OCD!Z30="E","C519",OCD!Z30="C9","C678", TRUE,"")</f>
        <v>OFF</v>
      </c>
      <c r="Z20" s="140" t="str" cm="1">
        <f t="array" ref="Z20">_xlfn.IFS(OCD!AA30="","OFF",OCD!AA30="HC","C087",OCD!AA30="M","C510",OCD!AA30="E","C519",OCD!AA30="C9","C678", TRUE,"")</f>
        <v>C519</v>
      </c>
      <c r="AA20" s="140" t="str" cm="1">
        <f t="array" ref="AA20">_xlfn.IFS(OCD!AB30="","OFF",OCD!AB30="HC","C087",OCD!AB30="M","C510",OCD!AB30="E","C519",OCD!AB30="C9","C678", TRUE,"")</f>
        <v>OFF</v>
      </c>
      <c r="AB20" s="140" t="str" cm="1">
        <f t="array" ref="AB20">_xlfn.IFS(OCD!AC30="","OFF",OCD!AC30="HC","C087",OCD!AC30="M","C510",OCD!AC30="E","C519",OCD!AC30="C9","C678", TRUE,"")</f>
        <v>C510</v>
      </c>
      <c r="AC20" s="140" t="str" cm="1">
        <f t="array" ref="AC20">_xlfn.IFS(OCD!AD30="","OFF",OCD!AD30="HC","C087",OCD!AD30="M","C510",OCD!AD30="E","C519",OCD!AD30="C9","C678", TRUE,"")</f>
        <v>C519</v>
      </c>
      <c r="AD20" s="140" t="str" cm="1">
        <f t="array" ref="AD20">_xlfn.IFS(OCD!AE30="","OFF",OCD!AE30="HC","C087",OCD!AE30="M","C510",OCD!AE30="E","C519",OCD!AE30="C9","C678", TRUE,"")</f>
        <v>OFF</v>
      </c>
      <c r="AE20" s="140" t="str" cm="1">
        <f t="array" ref="AE20">_xlfn.IFS(OCD!AF30="","OFF",OCD!AF30="HC","C087",OCD!AF30="M","C510",OCD!AF30="E","C519",OCD!AF30="C9","C678", TRUE,"")</f>
        <v>C678</v>
      </c>
      <c r="AF20" s="140" t="str" cm="1">
        <f t="array" ref="AF20">_xlfn.IFS(OCD!AG30="","OFF",OCD!AG30="HC","C087",OCD!AG30="M","C510",OCD!AG30="E","C519",OCD!AG30="C9","C678", TRUE,"")</f>
        <v>C678</v>
      </c>
      <c r="AG20" s="140" t="str" cm="1">
        <f t="array" ref="AG20">_xlfn.IFS(OCD!AH30="","OFF",OCD!AH30="HC","C087",OCD!AH30="M","C510",OCD!AH30="E","C519",OCD!AH30="C9","C678", TRUE,"")</f>
        <v>C519</v>
      </c>
    </row>
    <row r="21" spans="1:33" x14ac:dyDescent="0.25">
      <c r="A21" s="138" t="s">
        <v>92</v>
      </c>
      <c r="B21" s="139" t="s">
        <v>94</v>
      </c>
      <c r="C21" s="140" t="str" cm="1">
        <f t="array" ref="C21">_xlfn.IFS(OCD!D31="","OFF",OCD!D31="HC","C087",OCD!D31="M","C510",OCD!D31="E","C519",OCD!D31="C9","C678", TRUE,"")</f>
        <v>OFF</v>
      </c>
      <c r="D21" s="140" t="str" cm="1">
        <f t="array" ref="D21">_xlfn.IFS(OCD!E31="","OFF",OCD!E31="HC","C087",OCD!E31="M","C510",OCD!E31="E","C519",OCD!E31="C9","C678", TRUE,"")</f>
        <v>C087</v>
      </c>
      <c r="E21" s="140" t="str" cm="1">
        <f t="array" ref="E21">_xlfn.IFS(OCD!F31="","OFF",OCD!F31="HC","C087",OCD!F31="M","C510",OCD!F31="E","C519",OCD!F31="C9","C678", TRUE,"")</f>
        <v>C087</v>
      </c>
      <c r="F21" s="140" t="str" cm="1">
        <f t="array" ref="F21">_xlfn.IFS(OCD!G31="","OFF",OCD!G31="HC","C087",OCD!G31="M","C510",OCD!G31="E","C519",OCD!G31="C9","C678", TRUE,"")</f>
        <v>C087</v>
      </c>
      <c r="G21" s="140" t="str" cm="1">
        <f t="array" ref="G21">_xlfn.IFS(OCD!H31="","OFF",OCD!H31="HC","C087",OCD!H31="M","C510",OCD!H31="E","C519",OCD!H31="C9","C678", TRUE,"")</f>
        <v>OFF</v>
      </c>
      <c r="H21" s="140" t="str" cm="1">
        <f t="array" ref="H21">_xlfn.IFS(OCD!I31="","OFF",OCD!I31="HC","C087",OCD!I31="M","C510",OCD!I31="E","C519",OCD!I31="C9","C678", TRUE,"")</f>
        <v>C087</v>
      </c>
      <c r="I21" s="140" t="str" cm="1">
        <f t="array" ref="I21">_xlfn.IFS(OCD!J31="","OFF",OCD!J31="HC","C087",OCD!J31="M","C510",OCD!J31="E","C519",OCD!J31="C9","C678", TRUE,"")</f>
        <v>C519</v>
      </c>
      <c r="J21" s="140" t="str" cm="1">
        <f t="array" ref="J21">_xlfn.IFS(OCD!K31="","OFF",OCD!K31="HC","C087",OCD!K31="M","C510",OCD!K31="E","C519",OCD!K31="C9","C678", TRUE,"")</f>
        <v>OFF</v>
      </c>
      <c r="K21" s="140" t="str" cm="1">
        <f t="array" ref="K21">_xlfn.IFS(OCD!L31="","OFF",OCD!L31="HC","C087",OCD!L31="M","C510",OCD!L31="E","C519",OCD!L31="C9","C678", TRUE,"")</f>
        <v>OFF</v>
      </c>
      <c r="L21" s="140" t="str" cm="1">
        <f t="array" ref="L21">_xlfn.IFS(OCD!M31="","OFF",OCD!M31="HC","C087",OCD!M31="M","C510",OCD!M31="E","C519",OCD!M31="C9","C678", TRUE,"")</f>
        <v>C510</v>
      </c>
      <c r="M21" s="140" t="str" cm="1">
        <f t="array" ref="M21">_xlfn.IFS(OCD!N31="","OFF",OCD!N31="HC","C087",OCD!N31="M","C510",OCD!N31="E","C519",OCD!N31="C9","C678", TRUE,"")</f>
        <v>C678</v>
      </c>
      <c r="N21" s="140" t="str" cm="1">
        <f t="array" ref="N21">_xlfn.IFS(OCD!O31="","OFF",OCD!O31="HC","C087",OCD!O31="M","C510",OCD!O31="E","C519",OCD!O31="C9","C678", TRUE,"")</f>
        <v>OFF</v>
      </c>
      <c r="O21" s="140" t="str" cm="1">
        <f t="array" ref="O21">_xlfn.IFS(OCD!P31="","OFF",OCD!P31="HC","C087",OCD!P31="M","C510",OCD!P31="E","C519",OCD!P31="C9","C678", TRUE,"")</f>
        <v>C678</v>
      </c>
      <c r="P21" s="140" t="str" cm="1">
        <f t="array" ref="P21">_xlfn.IFS(OCD!Q31="","OFF",OCD!Q31="HC","C087",OCD!Q31="M","C510",OCD!Q31="E","C519",OCD!Q31="C9","C678", TRUE,"")</f>
        <v>C519</v>
      </c>
      <c r="Q21" s="140" t="str" cm="1">
        <f t="array" ref="Q21">_xlfn.IFS(OCD!R31="","OFF",OCD!R31="HC","C087",OCD!R31="M","C510",OCD!R31="E","C519",OCD!R31="C9","C678", TRUE,"")</f>
        <v>C678</v>
      </c>
      <c r="R21" s="140" t="str" cm="1">
        <f t="array" ref="R21">_xlfn.IFS(OCD!S31="","OFF",OCD!S31="HC","C087",OCD!S31="M","C510",OCD!S31="E","C519",OCD!S31="C9","C678", TRUE,"")</f>
        <v>OFF</v>
      </c>
      <c r="S21" s="140" t="str" cm="1">
        <f t="array" ref="S21">_xlfn.IFS(OCD!T31="","OFF",OCD!T31="HC","C087",OCD!T31="M","C510",OCD!T31="E","C519",OCD!T31="C9","C678", TRUE,"")</f>
        <v>C510</v>
      </c>
      <c r="T21" s="140" t="str" cm="1">
        <f t="array" ref="T21">_xlfn.IFS(OCD!U31="","OFF",OCD!U31="HC","C087",OCD!U31="M","C510",OCD!U31="E","C519",OCD!U31="C9","C678", TRUE,"")</f>
        <v>C519</v>
      </c>
      <c r="U21" s="140" t="str" cm="1">
        <f t="array" ref="U21">_xlfn.IFS(OCD!V31="","OFF",OCD!V31="HC","C087",OCD!V31="M","C510",OCD!V31="E","C519",OCD!V31="C9","C678", TRUE,"")</f>
        <v>OFF</v>
      </c>
      <c r="V21" s="140" t="str" cm="1">
        <f t="array" ref="V21">_xlfn.IFS(OCD!W31="","OFF",OCD!W31="HC","C087",OCD!W31="M","C510",OCD!W31="E","C519",OCD!W31="C9","C678", TRUE,"")</f>
        <v>C510</v>
      </c>
      <c r="W21" s="140" t="str" cm="1">
        <f t="array" ref="W21">_xlfn.IFS(OCD!X31="","OFF",OCD!X31="HC","C087",OCD!X31="M","C510",OCD!X31="E","C519",OCD!X31="C9","C678", TRUE,"")</f>
        <v>C519</v>
      </c>
      <c r="X21" s="140" t="str" cm="1">
        <f t="array" ref="X21">_xlfn.IFS(OCD!Y31="","OFF",OCD!Y31="HC","C087",OCD!Y31="M","C510",OCD!Y31="E","C519",OCD!Y31="C9","C678", TRUE,"")</f>
        <v>OFF</v>
      </c>
      <c r="Y21" s="140" t="str" cm="1">
        <f t="array" ref="Y21">_xlfn.IFS(OCD!Z31="","OFF",OCD!Z31="HC","C087",OCD!Z31="M","C510",OCD!Z31="E","C519",OCD!Z31="C9","C678", TRUE,"")</f>
        <v>C678</v>
      </c>
      <c r="Z21" s="140" t="str" cm="1">
        <f t="array" ref="Z21">_xlfn.IFS(OCD!AA31="","OFF",OCD!AA31="HC","C087",OCD!AA31="M","C510",OCD!AA31="E","C519",OCD!AA31="C9","C678", TRUE,"")</f>
        <v>OFF</v>
      </c>
      <c r="AA21" s="140" t="str" cm="1">
        <f t="array" ref="AA21">_xlfn.IFS(OCD!AB31="","OFF",OCD!AB31="HC","C087",OCD!AB31="M","C510",OCD!AB31="E","C519",OCD!AB31="C9","C678", TRUE,"")</f>
        <v>C510</v>
      </c>
      <c r="AB21" s="140" t="str" cm="1">
        <f t="array" ref="AB21">_xlfn.IFS(OCD!AC31="","OFF",OCD!AC31="HC","C087",OCD!AC31="M","C510",OCD!AC31="E","C519",OCD!AC31="C9","C678", TRUE,"")</f>
        <v>C519</v>
      </c>
      <c r="AC21" s="140" t="str" cm="1">
        <f t="array" ref="AC21">_xlfn.IFS(OCD!AD31="","OFF",OCD!AD31="HC","C087",OCD!AD31="M","C510",OCD!AD31="E","C519",OCD!AD31="C9","C678", TRUE,"")</f>
        <v>OFF</v>
      </c>
      <c r="AD21" s="140" t="str" cm="1">
        <f t="array" ref="AD21">_xlfn.IFS(OCD!AE31="","OFF",OCD!AE31="HC","C087",OCD!AE31="M","C510",OCD!AE31="E","C519",OCD!AE31="C9","C678", TRUE,"")</f>
        <v>C510</v>
      </c>
      <c r="AE21" s="140" t="str" cm="1">
        <f t="array" ref="AE21">_xlfn.IFS(OCD!AF31="","OFF",OCD!AF31="HC","C087",OCD!AF31="M","C510",OCD!AF31="E","C519",OCD!AF31="C9","C678", TRUE,"")</f>
        <v>OFF</v>
      </c>
      <c r="AF21" s="140" t="str" cm="1">
        <f t="array" ref="AF21">_xlfn.IFS(OCD!AG31="","OFF",OCD!AG31="HC","C087",OCD!AG31="M","C510",OCD!AG31="E","C519",OCD!AG31="C9","C678", TRUE,"")</f>
        <v>C678</v>
      </c>
      <c r="AG21" s="140" t="str" cm="1">
        <f t="array" ref="AG21">_xlfn.IFS(OCD!AH31="","OFF",OCD!AH31="HC","C087",OCD!AH31="M","C510",OCD!AH31="E","C519",OCD!AH31="C9","C678", TRUE,"")</f>
        <v>OFF</v>
      </c>
    </row>
    <row r="22" spans="1:33" x14ac:dyDescent="0.25">
      <c r="A22" s="138" t="s">
        <v>91</v>
      </c>
      <c r="B22" s="139" t="s">
        <v>95</v>
      </c>
      <c r="C22" s="140" t="str" cm="1">
        <f t="array" ref="C22">_xlfn.IFS(OCD!D32="","OFF",OCD!D32="HC","C087",OCD!D32="M","C510",OCD!D32="E","C519",OCD!D32="C9","C678", TRUE,"")</f>
        <v>OFF</v>
      </c>
      <c r="D22" s="140" t="str" cm="1">
        <f t="array" ref="D22">_xlfn.IFS(OCD!E32="","OFF",OCD!E32="HC","C087",OCD!E32="M","C510",OCD!E32="E","C519",OCD!E32="C9","C678", TRUE,"")</f>
        <v>C087</v>
      </c>
      <c r="E22" s="140" t="str" cm="1">
        <f t="array" ref="E22">_xlfn.IFS(OCD!F32="","OFF",OCD!F32="HC","C087",OCD!F32="M","C510",OCD!F32="E","C519",OCD!F32="C9","C678", TRUE,"")</f>
        <v>C087</v>
      </c>
      <c r="F22" s="140" t="str" cm="1">
        <f t="array" ref="F22">_xlfn.IFS(OCD!G32="","OFF",OCD!G32="HC","C087",OCD!G32="M","C510",OCD!G32="E","C519",OCD!G32="C9","C678", TRUE,"")</f>
        <v>C087</v>
      </c>
      <c r="G22" s="140" t="str" cm="1">
        <f t="array" ref="G22">_xlfn.IFS(OCD!H32="","OFF",OCD!H32="HC","C087",OCD!H32="M","C510",OCD!H32="E","C519",OCD!H32="C9","C678", TRUE,"")</f>
        <v>OFF</v>
      </c>
      <c r="H22" s="140" t="str" cm="1">
        <f t="array" ref="H22">_xlfn.IFS(OCD!I32="","OFF",OCD!I32="HC","C087",OCD!I32="M","C510",OCD!I32="E","C519",OCD!I32="C9","C678", TRUE,"")</f>
        <v>C087</v>
      </c>
      <c r="I22" s="140" t="str" cm="1">
        <f t="array" ref="I22">_xlfn.IFS(OCD!J32="","OFF",OCD!J32="HC","C087",OCD!J32="M","C510",OCD!J32="E","C519",OCD!J32="C9","C678", TRUE,"")</f>
        <v>C678</v>
      </c>
      <c r="J22" s="140" t="str" cm="1">
        <f t="array" ref="J22">_xlfn.IFS(OCD!K32="","OFF",OCD!K32="HC","C087",OCD!K32="M","C510",OCD!K32="E","C519",OCD!K32="C9","C678", TRUE,"")</f>
        <v>C678</v>
      </c>
      <c r="K22" s="140" t="str" cm="1">
        <f t="array" ref="K22">_xlfn.IFS(OCD!L32="","OFF",OCD!L32="HC","C087",OCD!L32="M","C510",OCD!L32="E","C519",OCD!L32="C9","C678", TRUE,"")</f>
        <v>OFF</v>
      </c>
      <c r="L22" s="140" t="str" cm="1">
        <f t="array" ref="L22">_xlfn.IFS(OCD!M32="","OFF",OCD!M32="HC","C087",OCD!M32="M","C510",OCD!M32="E","C519",OCD!M32="C9","C678", TRUE,"")</f>
        <v>C519</v>
      </c>
      <c r="M22" s="140" t="str" cm="1">
        <f t="array" ref="M22">_xlfn.IFS(OCD!N32="","OFF",OCD!N32="HC","C087",OCD!N32="M","C510",OCD!N32="E","C519",OCD!N32="C9","C678", TRUE,"")</f>
        <v>OFF</v>
      </c>
      <c r="N22" s="140" t="str" cm="1">
        <f t="array" ref="N22">_xlfn.IFS(OCD!O32="","OFF",OCD!O32="HC","C087",OCD!O32="M","C510",OCD!O32="E","C519",OCD!O32="C9","C678", TRUE,"")</f>
        <v>C510</v>
      </c>
      <c r="O22" s="140" t="str" cm="1">
        <f t="array" ref="O22">_xlfn.IFS(OCD!P32="","OFF",OCD!P32="HC","C087",OCD!P32="M","C510",OCD!P32="E","C519",OCD!P32="C9","C678", TRUE,"")</f>
        <v>C678</v>
      </c>
      <c r="P22" s="140" t="str" cm="1">
        <f t="array" ref="P22">_xlfn.IFS(OCD!Q32="","OFF",OCD!Q32="HC","C087",OCD!Q32="M","C510",OCD!Q32="E","C519",OCD!Q32="C9","C678", TRUE,"")</f>
        <v>C678</v>
      </c>
      <c r="Q22" s="140" t="str" cm="1">
        <f t="array" ref="Q22">_xlfn.IFS(OCD!R32="","OFF",OCD!R32="HC","C087",OCD!R32="M","C510",OCD!R32="E","C519",OCD!R32="C9","C678", TRUE,"")</f>
        <v>OFF</v>
      </c>
      <c r="R22" s="140" t="str" cm="1">
        <f t="array" ref="R22">_xlfn.IFS(OCD!S32="","OFF",OCD!S32="HC","C087",OCD!S32="M","C510",OCD!S32="E","C519",OCD!S32="C9","C678", TRUE,"")</f>
        <v>OFF</v>
      </c>
      <c r="S22" s="140" t="str" cm="1">
        <f t="array" ref="S22">_xlfn.IFS(OCD!T32="","OFF",OCD!T32="HC","C087",OCD!T32="M","C510",OCD!T32="E","C519",OCD!T32="C9","C678", TRUE,"")</f>
        <v>C519</v>
      </c>
      <c r="T22" s="140" t="str" cm="1">
        <f t="array" ref="T22">_xlfn.IFS(OCD!U32="","OFF",OCD!U32="HC","C087",OCD!U32="M","C510",OCD!U32="E","C519",OCD!U32="C9","C678", TRUE,"")</f>
        <v>OFF</v>
      </c>
      <c r="U22" s="140" t="str" cm="1">
        <f t="array" ref="U22">_xlfn.IFS(OCD!V32="","OFF",OCD!V32="HC","C087",OCD!V32="M","C510",OCD!V32="E","C519",OCD!V32="C9","C678", TRUE,"")</f>
        <v>C510</v>
      </c>
      <c r="V22" s="140" t="str" cm="1">
        <f t="array" ref="V22">_xlfn.IFS(OCD!W32="","OFF",OCD!W32="HC","C087",OCD!W32="M","C510",OCD!W32="E","C519",OCD!W32="C9","C678", TRUE,"")</f>
        <v>C519</v>
      </c>
      <c r="W22" s="140" t="str" cm="1">
        <f t="array" ref="W22">_xlfn.IFS(OCD!X32="","OFF",OCD!X32="HC","C087",OCD!X32="M","C510",OCD!X32="E","C519",OCD!X32="C9","C678", TRUE,"")</f>
        <v>OFF</v>
      </c>
      <c r="X22" s="140" t="str" cm="1">
        <f t="array" ref="X22">_xlfn.IFS(OCD!Y32="","OFF",OCD!Y32="HC","C087",OCD!Y32="M","C510",OCD!Y32="E","C519",OCD!Y32="C9","C678", TRUE,"")</f>
        <v>C678</v>
      </c>
      <c r="Y22" s="140" t="str" cm="1">
        <f t="array" ref="Y22">_xlfn.IFS(OCD!Z32="","OFF",OCD!Z32="HC","C087",OCD!Z32="M","C510",OCD!Z32="E","C519",OCD!Z32="C9","C678", TRUE,"")</f>
        <v>OFF</v>
      </c>
      <c r="Z22" s="140" t="str" cm="1">
        <f t="array" ref="Z22">_xlfn.IFS(OCD!AA32="","OFF",OCD!AA32="HC","C087",OCD!AA32="M","C510",OCD!AA32="E","C519",OCD!AA32="C9","C678", TRUE,"")</f>
        <v>C510</v>
      </c>
      <c r="AA22" s="140" t="str" cm="1">
        <f t="array" ref="AA22">_xlfn.IFS(OCD!AB32="","OFF",OCD!AB32="HC","C087",OCD!AB32="M","C510",OCD!AB32="E","C519",OCD!AB32="C9","C678", TRUE,"")</f>
        <v>C519</v>
      </c>
      <c r="AB22" s="140" t="str" cm="1">
        <f t="array" ref="AB22">_xlfn.IFS(OCD!AC32="","OFF",OCD!AC32="HC","C087",OCD!AC32="M","C510",OCD!AC32="E","C519",OCD!AC32="C9","C678", TRUE,"")</f>
        <v>OFF</v>
      </c>
      <c r="AC22" s="140" t="str" cm="1">
        <f t="array" ref="AC22">_xlfn.IFS(OCD!AD32="","OFF",OCD!AD32="HC","C087",OCD!AD32="M","C510",OCD!AD32="E","C519",OCD!AD32="C9","C678", TRUE,"")</f>
        <v>C510</v>
      </c>
      <c r="AD22" s="140" t="str" cm="1">
        <f t="array" ref="AD22">_xlfn.IFS(OCD!AE32="","OFF",OCD!AE32="HC","C087",OCD!AE32="M","C510",OCD!AE32="E","C519",OCD!AE32="C9","C678", TRUE,"")</f>
        <v>C519</v>
      </c>
      <c r="AE22" s="140" t="str" cm="1">
        <f t="array" ref="AE22">_xlfn.IFS(OCD!AF32="","OFF",OCD!AF32="HC","C087",OCD!AF32="M","C510",OCD!AF32="E","C519",OCD!AF32="C9","C678", TRUE,"")</f>
        <v>OFF</v>
      </c>
      <c r="AF22" s="140" t="str" cm="1">
        <f t="array" ref="AF22">_xlfn.IFS(OCD!AG32="","OFF",OCD!AG32="HC","C087",OCD!AG32="M","C510",OCD!AG32="E","C519",OCD!AG32="C9","C678", TRUE,"")</f>
        <v>OFF</v>
      </c>
      <c r="AG22" s="140" t="str" cm="1">
        <f t="array" ref="AG22">_xlfn.IFS(OCD!AH32="","OFF",OCD!AH32="HC","C087",OCD!AH32="M","C510",OCD!AH32="E","C519",OCD!AH32="C9","C678", TRUE,"")</f>
        <v>C510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E4BA-FF27-40C0-93F7-61000143D05E}">
  <dimension ref="A1:C687"/>
  <sheetViews>
    <sheetView topLeftCell="A108" workbookViewId="0">
      <selection activeCell="B129" sqref="B129"/>
    </sheetView>
  </sheetViews>
  <sheetFormatPr defaultColWidth="8.85546875" defaultRowHeight="15" x14ac:dyDescent="0.25"/>
  <cols>
    <col min="1" max="1" width="7.7109375" style="142" bestFit="1" customWidth="1"/>
    <col min="2" max="2" width="26.42578125" style="142" customWidth="1"/>
    <col min="3" max="3" width="30" style="142" bestFit="1" customWidth="1"/>
    <col min="4" max="16384" width="8.85546875" style="142"/>
  </cols>
  <sheetData>
    <row r="1" spans="1:3" ht="15.75" x14ac:dyDescent="0.25">
      <c r="A1" s="141" t="s">
        <v>98</v>
      </c>
      <c r="B1" s="141" t="s">
        <v>99</v>
      </c>
      <c r="C1" s="141" t="s">
        <v>100</v>
      </c>
    </row>
    <row r="2" spans="1:3" x14ac:dyDescent="0.25">
      <c r="A2" s="143" t="s">
        <v>101</v>
      </c>
      <c r="B2" s="143" t="s">
        <v>102</v>
      </c>
      <c r="C2" s="143" t="s">
        <v>102</v>
      </c>
    </row>
    <row r="3" spans="1:3" x14ac:dyDescent="0.25">
      <c r="A3" s="143" t="s">
        <v>103</v>
      </c>
      <c r="B3" s="143" t="s">
        <v>104</v>
      </c>
      <c r="C3" s="143" t="s">
        <v>104</v>
      </c>
    </row>
    <row r="4" spans="1:3" x14ac:dyDescent="0.25">
      <c r="A4" s="143" t="s">
        <v>105</v>
      </c>
      <c r="B4" s="143" t="s">
        <v>106</v>
      </c>
      <c r="C4" s="143" t="s">
        <v>106</v>
      </c>
    </row>
    <row r="5" spans="1:3" x14ac:dyDescent="0.25">
      <c r="A5" s="143" t="s">
        <v>107</v>
      </c>
      <c r="B5" s="143" t="s">
        <v>108</v>
      </c>
      <c r="C5" s="143" t="s">
        <v>109</v>
      </c>
    </row>
    <row r="6" spans="1:3" x14ac:dyDescent="0.25">
      <c r="A6" s="143" t="s">
        <v>110</v>
      </c>
      <c r="B6" s="143" t="s">
        <v>111</v>
      </c>
      <c r="C6" s="143" t="s">
        <v>111</v>
      </c>
    </row>
    <row r="7" spans="1:3" x14ac:dyDescent="0.25">
      <c r="A7" s="143" t="s">
        <v>112</v>
      </c>
      <c r="B7" s="143" t="s">
        <v>113</v>
      </c>
      <c r="C7" s="143" t="s">
        <v>113</v>
      </c>
    </row>
    <row r="8" spans="1:3" x14ac:dyDescent="0.25">
      <c r="A8" s="143" t="s">
        <v>114</v>
      </c>
      <c r="B8" s="143" t="s">
        <v>115</v>
      </c>
      <c r="C8" s="143" t="s">
        <v>115</v>
      </c>
    </row>
    <row r="9" spans="1:3" x14ac:dyDescent="0.25">
      <c r="A9" s="143" t="s">
        <v>116</v>
      </c>
      <c r="B9" s="143" t="s">
        <v>117</v>
      </c>
      <c r="C9" s="143" t="s">
        <v>117</v>
      </c>
    </row>
    <row r="10" spans="1:3" x14ac:dyDescent="0.25">
      <c r="A10" s="143" t="s">
        <v>118</v>
      </c>
      <c r="B10" s="143" t="s">
        <v>119</v>
      </c>
      <c r="C10" s="143" t="s">
        <v>119</v>
      </c>
    </row>
    <row r="11" spans="1:3" x14ac:dyDescent="0.25">
      <c r="A11" s="143" t="s">
        <v>120</v>
      </c>
      <c r="B11" s="143" t="s">
        <v>121</v>
      </c>
      <c r="C11" s="143" t="s">
        <v>121</v>
      </c>
    </row>
    <row r="12" spans="1:3" x14ac:dyDescent="0.25">
      <c r="A12" s="143" t="s">
        <v>122</v>
      </c>
      <c r="B12" s="143" t="s">
        <v>123</v>
      </c>
      <c r="C12" s="143" t="s">
        <v>123</v>
      </c>
    </row>
    <row r="13" spans="1:3" x14ac:dyDescent="0.25">
      <c r="A13" s="143" t="s">
        <v>124</v>
      </c>
      <c r="B13" s="143" t="s">
        <v>125</v>
      </c>
      <c r="C13" s="143" t="s">
        <v>126</v>
      </c>
    </row>
    <row r="14" spans="1:3" x14ac:dyDescent="0.25">
      <c r="A14" s="143" t="s">
        <v>127</v>
      </c>
      <c r="B14" s="143" t="s">
        <v>128</v>
      </c>
      <c r="C14" s="143" t="s">
        <v>129</v>
      </c>
    </row>
    <row r="15" spans="1:3" x14ac:dyDescent="0.25">
      <c r="A15" s="143" t="s">
        <v>130</v>
      </c>
      <c r="B15" s="143" t="s">
        <v>131</v>
      </c>
      <c r="C15" s="143" t="s">
        <v>131</v>
      </c>
    </row>
    <row r="16" spans="1:3" x14ac:dyDescent="0.25">
      <c r="A16" s="143" t="s">
        <v>132</v>
      </c>
      <c r="B16" s="143" t="s">
        <v>133</v>
      </c>
      <c r="C16" s="143" t="s">
        <v>133</v>
      </c>
    </row>
    <row r="17" spans="1:3" x14ac:dyDescent="0.25">
      <c r="A17" s="143" t="s">
        <v>134</v>
      </c>
      <c r="B17" s="143" t="s">
        <v>135</v>
      </c>
      <c r="C17" s="143" t="s">
        <v>135</v>
      </c>
    </row>
    <row r="18" spans="1:3" x14ac:dyDescent="0.25">
      <c r="A18" s="143" t="s">
        <v>136</v>
      </c>
      <c r="B18" s="143" t="s">
        <v>137</v>
      </c>
      <c r="C18" s="143" t="s">
        <v>137</v>
      </c>
    </row>
    <row r="19" spans="1:3" x14ac:dyDescent="0.25">
      <c r="A19" s="143" t="s">
        <v>138</v>
      </c>
      <c r="B19" s="143" t="s">
        <v>139</v>
      </c>
      <c r="C19" s="143" t="s">
        <v>139</v>
      </c>
    </row>
    <row r="20" spans="1:3" x14ac:dyDescent="0.25">
      <c r="A20" s="143" t="s">
        <v>140</v>
      </c>
      <c r="B20" s="143" t="s">
        <v>141</v>
      </c>
      <c r="C20" s="143" t="s">
        <v>141</v>
      </c>
    </row>
    <row r="21" spans="1:3" x14ac:dyDescent="0.25">
      <c r="A21" s="143" t="s">
        <v>142</v>
      </c>
      <c r="B21" s="143" t="s">
        <v>143</v>
      </c>
      <c r="C21" s="143" t="s">
        <v>143</v>
      </c>
    </row>
    <row r="22" spans="1:3" x14ac:dyDescent="0.25">
      <c r="A22" s="143" t="s">
        <v>144</v>
      </c>
      <c r="B22" s="143" t="s">
        <v>145</v>
      </c>
      <c r="C22" s="143" t="s">
        <v>145</v>
      </c>
    </row>
    <row r="23" spans="1:3" x14ac:dyDescent="0.25">
      <c r="A23" s="143" t="s">
        <v>146</v>
      </c>
      <c r="B23" s="143" t="s">
        <v>147</v>
      </c>
      <c r="C23" s="143" t="s">
        <v>147</v>
      </c>
    </row>
    <row r="24" spans="1:3" x14ac:dyDescent="0.25">
      <c r="A24" s="143" t="s">
        <v>148</v>
      </c>
      <c r="B24" s="143" t="s">
        <v>149</v>
      </c>
      <c r="C24" s="143" t="s">
        <v>149</v>
      </c>
    </row>
    <row r="25" spans="1:3" x14ac:dyDescent="0.25">
      <c r="A25" s="143" t="s">
        <v>150</v>
      </c>
      <c r="B25" s="143" t="s">
        <v>151</v>
      </c>
      <c r="C25" s="143" t="s">
        <v>151</v>
      </c>
    </row>
    <row r="26" spans="1:3" x14ac:dyDescent="0.25">
      <c r="A26" s="143" t="s">
        <v>152</v>
      </c>
      <c r="B26" s="143" t="s">
        <v>153</v>
      </c>
      <c r="C26" s="143" t="s">
        <v>153</v>
      </c>
    </row>
    <row r="27" spans="1:3" x14ac:dyDescent="0.25">
      <c r="A27" s="143" t="s">
        <v>154</v>
      </c>
      <c r="B27" s="143" t="s">
        <v>155</v>
      </c>
      <c r="C27" s="143" t="s">
        <v>155</v>
      </c>
    </row>
    <row r="28" spans="1:3" x14ac:dyDescent="0.25">
      <c r="A28" s="143" t="s">
        <v>156</v>
      </c>
      <c r="B28" s="143" t="s">
        <v>157</v>
      </c>
      <c r="C28" s="143" t="s">
        <v>157</v>
      </c>
    </row>
    <row r="29" spans="1:3" x14ac:dyDescent="0.25">
      <c r="A29" s="143" t="s">
        <v>158</v>
      </c>
      <c r="B29" s="143" t="s">
        <v>159</v>
      </c>
      <c r="C29" s="143" t="s">
        <v>159</v>
      </c>
    </row>
    <row r="30" spans="1:3" x14ac:dyDescent="0.25">
      <c r="A30" s="143" t="s">
        <v>160</v>
      </c>
      <c r="B30" s="143" t="s">
        <v>161</v>
      </c>
      <c r="C30" s="143" t="s">
        <v>161</v>
      </c>
    </row>
    <row r="31" spans="1:3" x14ac:dyDescent="0.25">
      <c r="A31" s="143" t="s">
        <v>162</v>
      </c>
      <c r="B31" s="143" t="s">
        <v>163</v>
      </c>
      <c r="C31" s="143" t="s">
        <v>163</v>
      </c>
    </row>
    <row r="32" spans="1:3" x14ac:dyDescent="0.25">
      <c r="A32" s="143" t="s">
        <v>164</v>
      </c>
      <c r="B32" s="143" t="s">
        <v>165</v>
      </c>
      <c r="C32" s="143" t="s">
        <v>165</v>
      </c>
    </row>
    <row r="33" spans="1:3" x14ac:dyDescent="0.25">
      <c r="A33" s="143" t="s">
        <v>166</v>
      </c>
      <c r="B33" s="143" t="s">
        <v>167</v>
      </c>
      <c r="C33" s="143" t="s">
        <v>167</v>
      </c>
    </row>
    <row r="34" spans="1:3" x14ac:dyDescent="0.25">
      <c r="A34" s="143" t="s">
        <v>168</v>
      </c>
      <c r="B34" s="143" t="s">
        <v>169</v>
      </c>
      <c r="C34" s="143" t="s">
        <v>169</v>
      </c>
    </row>
    <row r="35" spans="1:3" x14ac:dyDescent="0.25">
      <c r="A35" s="143" t="s">
        <v>170</v>
      </c>
      <c r="B35" s="143" t="s">
        <v>171</v>
      </c>
      <c r="C35" s="143" t="s">
        <v>171</v>
      </c>
    </row>
    <row r="36" spans="1:3" x14ac:dyDescent="0.25">
      <c r="A36" s="143" t="s">
        <v>172</v>
      </c>
      <c r="B36" s="143" t="s">
        <v>173</v>
      </c>
      <c r="C36" s="143" t="s">
        <v>173</v>
      </c>
    </row>
    <row r="37" spans="1:3" x14ac:dyDescent="0.25">
      <c r="A37" s="143" t="s">
        <v>174</v>
      </c>
      <c r="B37" s="143" t="s">
        <v>175</v>
      </c>
      <c r="C37" s="143" t="s">
        <v>175</v>
      </c>
    </row>
    <row r="38" spans="1:3" x14ac:dyDescent="0.25">
      <c r="A38" s="143" t="s">
        <v>176</v>
      </c>
      <c r="B38" s="143" t="s">
        <v>177</v>
      </c>
      <c r="C38" s="143" t="s">
        <v>178</v>
      </c>
    </row>
    <row r="39" spans="1:3" x14ac:dyDescent="0.25">
      <c r="A39" s="143" t="s">
        <v>179</v>
      </c>
      <c r="B39" s="143" t="s">
        <v>180</v>
      </c>
      <c r="C39" s="143" t="s">
        <v>180</v>
      </c>
    </row>
    <row r="40" spans="1:3" x14ac:dyDescent="0.25">
      <c r="A40" s="143" t="s">
        <v>181</v>
      </c>
      <c r="B40" s="143" t="s">
        <v>182</v>
      </c>
      <c r="C40" s="143" t="s">
        <v>182</v>
      </c>
    </row>
    <row r="41" spans="1:3" x14ac:dyDescent="0.25">
      <c r="A41" s="143" t="s">
        <v>183</v>
      </c>
      <c r="B41" s="143" t="s">
        <v>184</v>
      </c>
      <c r="C41" s="143" t="s">
        <v>184</v>
      </c>
    </row>
    <row r="42" spans="1:3" x14ac:dyDescent="0.25">
      <c r="A42" s="143" t="s">
        <v>185</v>
      </c>
      <c r="B42" s="143" t="s">
        <v>186</v>
      </c>
      <c r="C42" s="143" t="s">
        <v>186</v>
      </c>
    </row>
    <row r="43" spans="1:3" x14ac:dyDescent="0.25">
      <c r="A43" s="143" t="s">
        <v>187</v>
      </c>
      <c r="B43" s="143" t="s">
        <v>188</v>
      </c>
      <c r="C43" s="143" t="s">
        <v>188</v>
      </c>
    </row>
    <row r="44" spans="1:3" x14ac:dyDescent="0.25">
      <c r="A44" s="143" t="s">
        <v>189</v>
      </c>
      <c r="B44" s="143" t="s">
        <v>190</v>
      </c>
      <c r="C44" s="143" t="s">
        <v>190</v>
      </c>
    </row>
    <row r="45" spans="1:3" x14ac:dyDescent="0.25">
      <c r="A45" s="143" t="s">
        <v>191</v>
      </c>
      <c r="B45" s="143" t="s">
        <v>192</v>
      </c>
      <c r="C45" s="143" t="s">
        <v>192</v>
      </c>
    </row>
    <row r="46" spans="1:3" x14ac:dyDescent="0.25">
      <c r="A46" s="143" t="s">
        <v>193</v>
      </c>
      <c r="B46" s="143" t="s">
        <v>194</v>
      </c>
      <c r="C46" s="143" t="s">
        <v>194</v>
      </c>
    </row>
    <row r="47" spans="1:3" x14ac:dyDescent="0.25">
      <c r="A47" s="143" t="s">
        <v>195</v>
      </c>
      <c r="B47" s="143" t="s">
        <v>196</v>
      </c>
      <c r="C47" s="143" t="s">
        <v>196</v>
      </c>
    </row>
    <row r="48" spans="1:3" x14ac:dyDescent="0.25">
      <c r="A48" s="143" t="s">
        <v>197</v>
      </c>
      <c r="B48" s="143" t="s">
        <v>198</v>
      </c>
      <c r="C48" s="143" t="s">
        <v>198</v>
      </c>
    </row>
    <row r="49" spans="1:3" x14ac:dyDescent="0.25">
      <c r="A49" s="143" t="s">
        <v>199</v>
      </c>
      <c r="B49" s="143" t="s">
        <v>200</v>
      </c>
      <c r="C49" s="143" t="s">
        <v>200</v>
      </c>
    </row>
    <row r="50" spans="1:3" x14ac:dyDescent="0.25">
      <c r="A50" s="143" t="s">
        <v>201</v>
      </c>
      <c r="B50" s="143" t="s">
        <v>202</v>
      </c>
      <c r="C50" s="143" t="s">
        <v>202</v>
      </c>
    </row>
    <row r="51" spans="1:3" x14ac:dyDescent="0.25">
      <c r="A51" s="143" t="s">
        <v>203</v>
      </c>
      <c r="B51" s="143" t="s">
        <v>204</v>
      </c>
      <c r="C51" s="143" t="s">
        <v>204</v>
      </c>
    </row>
    <row r="52" spans="1:3" x14ac:dyDescent="0.25">
      <c r="A52" s="143" t="s">
        <v>205</v>
      </c>
      <c r="B52" s="143" t="s">
        <v>206</v>
      </c>
      <c r="C52" s="143" t="s">
        <v>206</v>
      </c>
    </row>
    <row r="53" spans="1:3" x14ac:dyDescent="0.25">
      <c r="A53" s="143" t="s">
        <v>207</v>
      </c>
      <c r="B53" s="143" t="s">
        <v>208</v>
      </c>
      <c r="C53" s="143" t="s">
        <v>208</v>
      </c>
    </row>
    <row r="54" spans="1:3" x14ac:dyDescent="0.25">
      <c r="A54" s="143" t="s">
        <v>209</v>
      </c>
      <c r="B54" s="143" t="s">
        <v>210</v>
      </c>
      <c r="C54" s="143" t="s">
        <v>210</v>
      </c>
    </row>
    <row r="55" spans="1:3" x14ac:dyDescent="0.25">
      <c r="A55" s="143" t="s">
        <v>211</v>
      </c>
      <c r="B55" s="143" t="s">
        <v>212</v>
      </c>
      <c r="C55" s="143" t="s">
        <v>212</v>
      </c>
    </row>
    <row r="56" spans="1:3" x14ac:dyDescent="0.25">
      <c r="A56" s="143" t="s">
        <v>213</v>
      </c>
      <c r="B56" s="143" t="s">
        <v>182</v>
      </c>
      <c r="C56" s="143" t="s">
        <v>182</v>
      </c>
    </row>
    <row r="57" spans="1:3" x14ac:dyDescent="0.25">
      <c r="A57" s="143" t="s">
        <v>214</v>
      </c>
      <c r="B57" s="143" t="s">
        <v>215</v>
      </c>
      <c r="C57" s="143" t="s">
        <v>215</v>
      </c>
    </row>
    <row r="58" spans="1:3" x14ac:dyDescent="0.25">
      <c r="A58" s="143" t="s">
        <v>216</v>
      </c>
      <c r="B58" s="143" t="s">
        <v>217</v>
      </c>
      <c r="C58" s="143" t="s">
        <v>217</v>
      </c>
    </row>
    <row r="59" spans="1:3" x14ac:dyDescent="0.25">
      <c r="A59" s="143" t="s">
        <v>218</v>
      </c>
      <c r="B59" s="143" t="s">
        <v>219</v>
      </c>
      <c r="C59" s="143" t="s">
        <v>219</v>
      </c>
    </row>
    <row r="60" spans="1:3" x14ac:dyDescent="0.25">
      <c r="A60" s="143" t="s">
        <v>220</v>
      </c>
      <c r="B60" s="143" t="s">
        <v>221</v>
      </c>
      <c r="C60" s="143" t="s">
        <v>221</v>
      </c>
    </row>
    <row r="61" spans="1:3" x14ac:dyDescent="0.25">
      <c r="A61" s="143" t="s">
        <v>222</v>
      </c>
      <c r="B61" s="143" t="s">
        <v>223</v>
      </c>
      <c r="C61" s="143" t="s">
        <v>223</v>
      </c>
    </row>
    <row r="62" spans="1:3" x14ac:dyDescent="0.25">
      <c r="A62" s="143" t="s">
        <v>224</v>
      </c>
      <c r="B62" s="143" t="s">
        <v>225</v>
      </c>
      <c r="C62" s="143" t="s">
        <v>225</v>
      </c>
    </row>
    <row r="63" spans="1:3" x14ac:dyDescent="0.25">
      <c r="A63" s="143" t="s">
        <v>226</v>
      </c>
      <c r="B63" s="143" t="s">
        <v>227</v>
      </c>
      <c r="C63" s="143" t="s">
        <v>228</v>
      </c>
    </row>
    <row r="64" spans="1:3" x14ac:dyDescent="0.25">
      <c r="A64" s="143" t="s">
        <v>229</v>
      </c>
      <c r="B64" s="143" t="s">
        <v>230</v>
      </c>
      <c r="C64" s="143" t="s">
        <v>231</v>
      </c>
    </row>
    <row r="65" spans="1:3" x14ac:dyDescent="0.25">
      <c r="A65" s="143" t="s">
        <v>232</v>
      </c>
      <c r="B65" s="143" t="s">
        <v>233</v>
      </c>
      <c r="C65" s="143" t="s">
        <v>233</v>
      </c>
    </row>
    <row r="66" spans="1:3" x14ac:dyDescent="0.25">
      <c r="A66" s="143" t="s">
        <v>234</v>
      </c>
      <c r="B66" s="143" t="s">
        <v>235</v>
      </c>
      <c r="C66" s="143" t="s">
        <v>235</v>
      </c>
    </row>
    <row r="67" spans="1:3" x14ac:dyDescent="0.25">
      <c r="A67" s="143" t="s">
        <v>236</v>
      </c>
      <c r="B67" s="143" t="s">
        <v>237</v>
      </c>
      <c r="C67" s="143" t="s">
        <v>237</v>
      </c>
    </row>
    <row r="68" spans="1:3" x14ac:dyDescent="0.25">
      <c r="A68" s="143" t="s">
        <v>238</v>
      </c>
      <c r="B68" s="143" t="s">
        <v>239</v>
      </c>
      <c r="C68" s="143" t="s">
        <v>239</v>
      </c>
    </row>
    <row r="69" spans="1:3" x14ac:dyDescent="0.25">
      <c r="A69" s="143" t="s">
        <v>240</v>
      </c>
      <c r="B69" s="143" t="s">
        <v>241</v>
      </c>
      <c r="C69" s="143" t="s">
        <v>241</v>
      </c>
    </row>
    <row r="70" spans="1:3" x14ac:dyDescent="0.25">
      <c r="A70" s="143" t="s">
        <v>242</v>
      </c>
      <c r="B70" s="143" t="s">
        <v>243</v>
      </c>
      <c r="C70" s="143" t="s">
        <v>243</v>
      </c>
    </row>
    <row r="71" spans="1:3" x14ac:dyDescent="0.25">
      <c r="A71" s="143" t="s">
        <v>244</v>
      </c>
      <c r="B71" s="143" t="s">
        <v>111</v>
      </c>
      <c r="C71" s="143" t="s">
        <v>111</v>
      </c>
    </row>
    <row r="72" spans="1:3" x14ac:dyDescent="0.25">
      <c r="A72" s="143" t="s">
        <v>245</v>
      </c>
      <c r="B72" s="143" t="s">
        <v>246</v>
      </c>
      <c r="C72" s="143" t="s">
        <v>246</v>
      </c>
    </row>
    <row r="73" spans="1:3" x14ac:dyDescent="0.25">
      <c r="A73" s="143" t="s">
        <v>247</v>
      </c>
      <c r="B73" s="143" t="s">
        <v>248</v>
      </c>
      <c r="C73" s="143" t="s">
        <v>248</v>
      </c>
    </row>
    <row r="74" spans="1:3" x14ac:dyDescent="0.25">
      <c r="A74" s="143" t="s">
        <v>249</v>
      </c>
      <c r="B74" s="143" t="s">
        <v>250</v>
      </c>
      <c r="C74" s="143" t="s">
        <v>250</v>
      </c>
    </row>
    <row r="75" spans="1:3" x14ac:dyDescent="0.25">
      <c r="A75" s="143" t="s">
        <v>251</v>
      </c>
      <c r="B75" s="143" t="s">
        <v>252</v>
      </c>
      <c r="C75" s="143" t="s">
        <v>252</v>
      </c>
    </row>
    <row r="76" spans="1:3" x14ac:dyDescent="0.25">
      <c r="A76" s="143" t="s">
        <v>253</v>
      </c>
      <c r="B76" s="143" t="s">
        <v>254</v>
      </c>
      <c r="C76" s="143" t="s">
        <v>254</v>
      </c>
    </row>
    <row r="77" spans="1:3" x14ac:dyDescent="0.25">
      <c r="A77" s="143" t="s">
        <v>255</v>
      </c>
      <c r="B77" s="143" t="s">
        <v>256</v>
      </c>
      <c r="C77" s="143" t="s">
        <v>256</v>
      </c>
    </row>
    <row r="78" spans="1:3" x14ac:dyDescent="0.25">
      <c r="A78" s="143" t="s">
        <v>257</v>
      </c>
      <c r="B78" s="143" t="s">
        <v>113</v>
      </c>
      <c r="C78" s="143" t="s">
        <v>113</v>
      </c>
    </row>
    <row r="79" spans="1:3" x14ac:dyDescent="0.25">
      <c r="A79" s="143" t="s">
        <v>258</v>
      </c>
      <c r="B79" s="143" t="s">
        <v>259</v>
      </c>
      <c r="C79" s="143" t="s">
        <v>259</v>
      </c>
    </row>
    <row r="80" spans="1:3" x14ac:dyDescent="0.25">
      <c r="A80" s="143" t="s">
        <v>260</v>
      </c>
      <c r="B80" s="143" t="s">
        <v>261</v>
      </c>
      <c r="C80" s="143" t="s">
        <v>261</v>
      </c>
    </row>
    <row r="81" spans="1:3" x14ac:dyDescent="0.25">
      <c r="A81" s="143" t="s">
        <v>262</v>
      </c>
      <c r="B81" s="143" t="s">
        <v>263</v>
      </c>
      <c r="C81" s="143" t="s">
        <v>263</v>
      </c>
    </row>
    <row r="82" spans="1:3" x14ac:dyDescent="0.25">
      <c r="A82" s="143" t="s">
        <v>264</v>
      </c>
      <c r="B82" s="143" t="s">
        <v>265</v>
      </c>
      <c r="C82" s="143" t="s">
        <v>265</v>
      </c>
    </row>
    <row r="83" spans="1:3" x14ac:dyDescent="0.25">
      <c r="A83" s="143" t="s">
        <v>266</v>
      </c>
      <c r="B83" s="143" t="s">
        <v>267</v>
      </c>
      <c r="C83" s="143" t="s">
        <v>267</v>
      </c>
    </row>
    <row r="84" spans="1:3" x14ac:dyDescent="0.25">
      <c r="A84" s="143" t="s">
        <v>268</v>
      </c>
      <c r="B84" s="143" t="s">
        <v>269</v>
      </c>
      <c r="C84" s="143" t="s">
        <v>269</v>
      </c>
    </row>
    <row r="85" spans="1:3" x14ac:dyDescent="0.25">
      <c r="A85" s="143" t="s">
        <v>270</v>
      </c>
      <c r="B85" s="143" t="s">
        <v>271</v>
      </c>
      <c r="C85" s="143" t="s">
        <v>271</v>
      </c>
    </row>
    <row r="86" spans="1:3" x14ac:dyDescent="0.25">
      <c r="A86" s="143" t="s">
        <v>272</v>
      </c>
      <c r="B86" s="143" t="s">
        <v>273</v>
      </c>
      <c r="C86" s="143" t="s">
        <v>273</v>
      </c>
    </row>
    <row r="87" spans="1:3" x14ac:dyDescent="0.25">
      <c r="A87" s="143" t="s">
        <v>274</v>
      </c>
      <c r="B87" s="143" t="s">
        <v>275</v>
      </c>
      <c r="C87" s="143" t="s">
        <v>275</v>
      </c>
    </row>
    <row r="88" spans="1:3" x14ac:dyDescent="0.25">
      <c r="A88" s="143" t="s">
        <v>276</v>
      </c>
      <c r="B88" s="143" t="s">
        <v>161</v>
      </c>
      <c r="C88" s="143" t="s">
        <v>161</v>
      </c>
    </row>
    <row r="89" spans="1:3" x14ac:dyDescent="0.25">
      <c r="A89" s="143" t="s">
        <v>277</v>
      </c>
      <c r="B89" s="143" t="s">
        <v>278</v>
      </c>
      <c r="C89" s="143" t="s">
        <v>279</v>
      </c>
    </row>
    <row r="90" spans="1:3" x14ac:dyDescent="0.25">
      <c r="A90" s="143" t="s">
        <v>280</v>
      </c>
      <c r="B90" s="143" t="s">
        <v>281</v>
      </c>
      <c r="C90" s="143" t="s">
        <v>281</v>
      </c>
    </row>
    <row r="91" spans="1:3" x14ac:dyDescent="0.25">
      <c r="A91" s="143" t="s">
        <v>282</v>
      </c>
      <c r="B91" s="143" t="s">
        <v>283</v>
      </c>
      <c r="C91" s="143" t="s">
        <v>283</v>
      </c>
    </row>
    <row r="92" spans="1:3" x14ac:dyDescent="0.25">
      <c r="A92" s="143" t="s">
        <v>284</v>
      </c>
      <c r="B92" s="143" t="s">
        <v>128</v>
      </c>
      <c r="C92" s="143" t="s">
        <v>129</v>
      </c>
    </row>
    <row r="93" spans="1:3" x14ac:dyDescent="0.25">
      <c r="A93" s="143" t="s">
        <v>285</v>
      </c>
      <c r="B93" s="143" t="s">
        <v>286</v>
      </c>
      <c r="C93" s="143" t="s">
        <v>286</v>
      </c>
    </row>
    <row r="94" spans="1:3" x14ac:dyDescent="0.25">
      <c r="A94" s="143" t="s">
        <v>287</v>
      </c>
      <c r="B94" s="143" t="s">
        <v>288</v>
      </c>
      <c r="C94" s="143" t="s">
        <v>288</v>
      </c>
    </row>
    <row r="95" spans="1:3" x14ac:dyDescent="0.25">
      <c r="A95" s="143" t="s">
        <v>289</v>
      </c>
      <c r="B95" s="143" t="s">
        <v>290</v>
      </c>
      <c r="C95" s="143" t="s">
        <v>291</v>
      </c>
    </row>
    <row r="96" spans="1:3" x14ac:dyDescent="0.25">
      <c r="A96" s="143" t="s">
        <v>292</v>
      </c>
      <c r="B96" s="143" t="s">
        <v>293</v>
      </c>
      <c r="C96" s="143" t="s">
        <v>293</v>
      </c>
    </row>
    <row r="97" spans="1:3" x14ac:dyDescent="0.25">
      <c r="A97" s="143" t="s">
        <v>294</v>
      </c>
      <c r="B97" s="143" t="s">
        <v>295</v>
      </c>
      <c r="C97" s="143" t="s">
        <v>295</v>
      </c>
    </row>
    <row r="98" spans="1:3" x14ac:dyDescent="0.25">
      <c r="A98" s="143" t="s">
        <v>296</v>
      </c>
      <c r="B98" s="143" t="s">
        <v>297</v>
      </c>
      <c r="C98" s="143" t="s">
        <v>297</v>
      </c>
    </row>
    <row r="99" spans="1:3" x14ac:dyDescent="0.25">
      <c r="A99" s="143" t="s">
        <v>298</v>
      </c>
      <c r="B99" s="143" t="s">
        <v>299</v>
      </c>
      <c r="C99" s="143" t="s">
        <v>299</v>
      </c>
    </row>
    <row r="100" spans="1:3" x14ac:dyDescent="0.25">
      <c r="A100" s="143" t="s">
        <v>300</v>
      </c>
      <c r="B100" s="143" t="s">
        <v>301</v>
      </c>
      <c r="C100" s="143" t="s">
        <v>301</v>
      </c>
    </row>
    <row r="101" spans="1:3" x14ac:dyDescent="0.25">
      <c r="A101" s="143" t="s">
        <v>302</v>
      </c>
      <c r="B101" s="143" t="s">
        <v>303</v>
      </c>
      <c r="C101" s="143" t="s">
        <v>303</v>
      </c>
    </row>
    <row r="102" spans="1:3" x14ac:dyDescent="0.25">
      <c r="A102" s="143" t="s">
        <v>304</v>
      </c>
      <c r="B102" s="143" t="s">
        <v>305</v>
      </c>
      <c r="C102" s="143" t="s">
        <v>305</v>
      </c>
    </row>
    <row r="103" spans="1:3" x14ac:dyDescent="0.25">
      <c r="A103" s="143" t="s">
        <v>306</v>
      </c>
      <c r="B103" s="143" t="s">
        <v>215</v>
      </c>
      <c r="C103" s="143" t="s">
        <v>215</v>
      </c>
    </row>
    <row r="104" spans="1:3" x14ac:dyDescent="0.25">
      <c r="A104" s="143" t="s">
        <v>307</v>
      </c>
      <c r="B104" s="143" t="s">
        <v>308</v>
      </c>
      <c r="C104" s="143" t="s">
        <v>308</v>
      </c>
    </row>
    <row r="105" spans="1:3" x14ac:dyDescent="0.25">
      <c r="A105" s="143" t="s">
        <v>309</v>
      </c>
      <c r="B105" s="143" t="s">
        <v>310</v>
      </c>
      <c r="C105" s="143" t="s">
        <v>310</v>
      </c>
    </row>
    <row r="106" spans="1:3" x14ac:dyDescent="0.25">
      <c r="A106" s="143" t="s">
        <v>311</v>
      </c>
      <c r="B106" s="143" t="s">
        <v>312</v>
      </c>
      <c r="C106" s="143" t="s">
        <v>312</v>
      </c>
    </row>
    <row r="107" spans="1:3" x14ac:dyDescent="0.25">
      <c r="A107" s="143" t="s">
        <v>313</v>
      </c>
      <c r="B107" s="143" t="s">
        <v>295</v>
      </c>
      <c r="C107" s="143" t="s">
        <v>295</v>
      </c>
    </row>
    <row r="108" spans="1:3" x14ac:dyDescent="0.25">
      <c r="A108" s="143" t="s">
        <v>314</v>
      </c>
      <c r="B108" s="143" t="s">
        <v>315</v>
      </c>
      <c r="C108" s="143" t="s">
        <v>315</v>
      </c>
    </row>
    <row r="109" spans="1:3" x14ac:dyDescent="0.25">
      <c r="A109" s="143" t="s">
        <v>316</v>
      </c>
      <c r="B109" s="143" t="s">
        <v>317</v>
      </c>
      <c r="C109" s="143" t="s">
        <v>317</v>
      </c>
    </row>
    <row r="110" spans="1:3" x14ac:dyDescent="0.25">
      <c r="A110" s="143" t="s">
        <v>318</v>
      </c>
      <c r="B110" s="143" t="s">
        <v>319</v>
      </c>
      <c r="C110" s="143" t="s">
        <v>319</v>
      </c>
    </row>
    <row r="111" spans="1:3" x14ac:dyDescent="0.25">
      <c r="A111" s="143" t="s">
        <v>320</v>
      </c>
      <c r="B111" s="143" t="s">
        <v>321</v>
      </c>
      <c r="C111" s="143" t="s">
        <v>321</v>
      </c>
    </row>
    <row r="112" spans="1:3" x14ac:dyDescent="0.25">
      <c r="A112" s="143" t="s">
        <v>322</v>
      </c>
      <c r="B112" s="143" t="s">
        <v>323</v>
      </c>
      <c r="C112" s="143" t="s">
        <v>323</v>
      </c>
    </row>
    <row r="113" spans="1:3" x14ac:dyDescent="0.25">
      <c r="A113" s="143" t="s">
        <v>324</v>
      </c>
      <c r="B113" s="143" t="s">
        <v>325</v>
      </c>
      <c r="C113" s="143" t="s">
        <v>325</v>
      </c>
    </row>
    <row r="114" spans="1:3" x14ac:dyDescent="0.25">
      <c r="A114" s="143" t="s">
        <v>326</v>
      </c>
      <c r="B114" s="143" t="s">
        <v>327</v>
      </c>
      <c r="C114" s="143" t="s">
        <v>327</v>
      </c>
    </row>
    <row r="115" spans="1:3" x14ac:dyDescent="0.25">
      <c r="A115" s="143" t="s">
        <v>328</v>
      </c>
      <c r="B115" s="143" t="s">
        <v>329</v>
      </c>
      <c r="C115" s="143" t="s">
        <v>329</v>
      </c>
    </row>
    <row r="116" spans="1:3" x14ac:dyDescent="0.25">
      <c r="A116" s="143" t="s">
        <v>330</v>
      </c>
      <c r="B116" s="143" t="s">
        <v>331</v>
      </c>
      <c r="C116" s="143" t="s">
        <v>331</v>
      </c>
    </row>
    <row r="117" spans="1:3" x14ac:dyDescent="0.25">
      <c r="A117" s="143" t="s">
        <v>332</v>
      </c>
      <c r="B117" s="143" t="s">
        <v>333</v>
      </c>
      <c r="C117" s="143" t="s">
        <v>333</v>
      </c>
    </row>
    <row r="118" spans="1:3" x14ac:dyDescent="0.25">
      <c r="A118" s="143" t="s">
        <v>334</v>
      </c>
      <c r="B118" s="143" t="s">
        <v>335</v>
      </c>
      <c r="C118" s="143" t="s">
        <v>335</v>
      </c>
    </row>
    <row r="119" spans="1:3" x14ac:dyDescent="0.25">
      <c r="A119" s="143" t="s">
        <v>336</v>
      </c>
      <c r="B119" s="143" t="s">
        <v>337</v>
      </c>
      <c r="C119" s="143" t="s">
        <v>337</v>
      </c>
    </row>
    <row r="120" spans="1:3" x14ac:dyDescent="0.25">
      <c r="A120" s="143" t="s">
        <v>338</v>
      </c>
      <c r="B120" s="143" t="s">
        <v>339</v>
      </c>
      <c r="C120" s="143" t="s">
        <v>339</v>
      </c>
    </row>
    <row r="121" spans="1:3" x14ac:dyDescent="0.25">
      <c r="A121" s="143" t="s">
        <v>340</v>
      </c>
      <c r="B121" s="143" t="s">
        <v>341</v>
      </c>
      <c r="C121" s="143" t="s">
        <v>341</v>
      </c>
    </row>
    <row r="122" spans="1:3" x14ac:dyDescent="0.25">
      <c r="A122" s="143" t="s">
        <v>342</v>
      </c>
      <c r="B122" s="143" t="s">
        <v>343</v>
      </c>
      <c r="C122" s="143" t="s">
        <v>343</v>
      </c>
    </row>
    <row r="123" spans="1:3" x14ac:dyDescent="0.25">
      <c r="A123" s="143" t="s">
        <v>344</v>
      </c>
      <c r="B123" s="143" t="s">
        <v>345</v>
      </c>
      <c r="C123" s="143" t="s">
        <v>345</v>
      </c>
    </row>
    <row r="124" spans="1:3" x14ac:dyDescent="0.25">
      <c r="A124" s="143" t="s">
        <v>346</v>
      </c>
      <c r="B124" s="143" t="s">
        <v>347</v>
      </c>
      <c r="C124" s="143" t="s">
        <v>347</v>
      </c>
    </row>
    <row r="125" spans="1:3" x14ac:dyDescent="0.25">
      <c r="A125" s="143" t="s">
        <v>348</v>
      </c>
      <c r="B125" s="143" t="s">
        <v>349</v>
      </c>
      <c r="C125" s="143" t="s">
        <v>350</v>
      </c>
    </row>
    <row r="126" spans="1:3" x14ac:dyDescent="0.25">
      <c r="A126" s="143" t="s">
        <v>351</v>
      </c>
      <c r="B126" s="143" t="s">
        <v>352</v>
      </c>
      <c r="C126" s="143" t="s">
        <v>352</v>
      </c>
    </row>
    <row r="127" spans="1:3" x14ac:dyDescent="0.25">
      <c r="A127" s="143" t="s">
        <v>353</v>
      </c>
      <c r="B127" s="143" t="s">
        <v>354</v>
      </c>
      <c r="C127" s="143" t="s">
        <v>355</v>
      </c>
    </row>
    <row r="128" spans="1:3" x14ac:dyDescent="0.25">
      <c r="A128" s="143" t="s">
        <v>356</v>
      </c>
      <c r="B128" s="143" t="s">
        <v>357</v>
      </c>
      <c r="C128" s="143" t="s">
        <v>358</v>
      </c>
    </row>
    <row r="129" spans="1:3" x14ac:dyDescent="0.25">
      <c r="A129" s="143" t="s">
        <v>359</v>
      </c>
      <c r="B129" s="143" t="s">
        <v>360</v>
      </c>
      <c r="C129" s="143" t="s">
        <v>360</v>
      </c>
    </row>
    <row r="130" spans="1:3" x14ac:dyDescent="0.25">
      <c r="A130" s="143" t="s">
        <v>361</v>
      </c>
      <c r="B130" s="143" t="s">
        <v>362</v>
      </c>
      <c r="C130" s="143" t="s">
        <v>362</v>
      </c>
    </row>
    <row r="131" spans="1:3" x14ac:dyDescent="0.25">
      <c r="A131" s="143" t="s">
        <v>363</v>
      </c>
      <c r="B131" s="143" t="s">
        <v>360</v>
      </c>
      <c r="C131" s="143" t="s">
        <v>360</v>
      </c>
    </row>
    <row r="132" spans="1:3" x14ac:dyDescent="0.25">
      <c r="A132" s="143" t="s">
        <v>364</v>
      </c>
      <c r="B132" s="143" t="s">
        <v>365</v>
      </c>
      <c r="C132" s="143" t="s">
        <v>366</v>
      </c>
    </row>
    <row r="133" spans="1:3" x14ac:dyDescent="0.25">
      <c r="A133" s="143" t="s">
        <v>367</v>
      </c>
      <c r="B133" s="143" t="s">
        <v>368</v>
      </c>
      <c r="C133" s="143" t="s">
        <v>368</v>
      </c>
    </row>
    <row r="134" spans="1:3" x14ac:dyDescent="0.25">
      <c r="A134" s="143" t="s">
        <v>369</v>
      </c>
      <c r="B134" s="143" t="s">
        <v>370</v>
      </c>
      <c r="C134" s="143" t="s">
        <v>370</v>
      </c>
    </row>
    <row r="135" spans="1:3" x14ac:dyDescent="0.25">
      <c r="A135" s="143" t="s">
        <v>371</v>
      </c>
      <c r="B135" s="143" t="s">
        <v>352</v>
      </c>
      <c r="C135" s="143" t="s">
        <v>352</v>
      </c>
    </row>
    <row r="136" spans="1:3" x14ac:dyDescent="0.25">
      <c r="A136" s="143" t="s">
        <v>372</v>
      </c>
      <c r="B136" s="143" t="s">
        <v>362</v>
      </c>
      <c r="C136" s="143" t="s">
        <v>362</v>
      </c>
    </row>
    <row r="137" spans="1:3" x14ac:dyDescent="0.25">
      <c r="A137" s="143" t="s">
        <v>373</v>
      </c>
      <c r="B137" s="143" t="s">
        <v>374</v>
      </c>
      <c r="C137" s="143" t="s">
        <v>374</v>
      </c>
    </row>
    <row r="138" spans="1:3" x14ac:dyDescent="0.25">
      <c r="A138" s="143" t="s">
        <v>375</v>
      </c>
      <c r="B138" s="143" t="s">
        <v>204</v>
      </c>
      <c r="C138" s="143" t="s">
        <v>204</v>
      </c>
    </row>
    <row r="139" spans="1:3" x14ac:dyDescent="0.25">
      <c r="A139" s="143" t="s">
        <v>376</v>
      </c>
      <c r="B139" s="143" t="s">
        <v>377</v>
      </c>
      <c r="C139" s="143" t="s">
        <v>378</v>
      </c>
    </row>
    <row r="140" spans="1:3" x14ac:dyDescent="0.25">
      <c r="A140" s="143" t="s">
        <v>379</v>
      </c>
      <c r="B140" s="143" t="s">
        <v>380</v>
      </c>
      <c r="C140" s="143" t="s">
        <v>381</v>
      </c>
    </row>
    <row r="141" spans="1:3" x14ac:dyDescent="0.25">
      <c r="A141" s="143" t="s">
        <v>382</v>
      </c>
      <c r="B141" s="143" t="s">
        <v>383</v>
      </c>
      <c r="C141" s="143" t="s">
        <v>383</v>
      </c>
    </row>
    <row r="142" spans="1:3" x14ac:dyDescent="0.25">
      <c r="A142" s="143" t="s">
        <v>384</v>
      </c>
      <c r="B142" s="143" t="s">
        <v>385</v>
      </c>
      <c r="C142" s="143" t="s">
        <v>386</v>
      </c>
    </row>
    <row r="143" spans="1:3" x14ac:dyDescent="0.25">
      <c r="A143" s="143" t="s">
        <v>387</v>
      </c>
      <c r="B143" s="143" t="s">
        <v>388</v>
      </c>
      <c r="C143" s="143" t="s">
        <v>389</v>
      </c>
    </row>
    <row r="144" spans="1:3" x14ac:dyDescent="0.25">
      <c r="A144" s="143" t="s">
        <v>390</v>
      </c>
      <c r="B144" s="143" t="s">
        <v>177</v>
      </c>
      <c r="C144" s="143" t="s">
        <v>178</v>
      </c>
    </row>
    <row r="145" spans="1:3" x14ac:dyDescent="0.25">
      <c r="A145" s="143" t="s">
        <v>391</v>
      </c>
      <c r="B145" s="143" t="s">
        <v>392</v>
      </c>
      <c r="C145" s="143" t="s">
        <v>393</v>
      </c>
    </row>
    <row r="146" spans="1:3" x14ac:dyDescent="0.25">
      <c r="A146" s="143" t="s">
        <v>394</v>
      </c>
      <c r="B146" s="143" t="s">
        <v>395</v>
      </c>
      <c r="C146" s="143" t="s">
        <v>396</v>
      </c>
    </row>
    <row r="147" spans="1:3" x14ac:dyDescent="0.25">
      <c r="A147" s="143" t="s">
        <v>397</v>
      </c>
      <c r="B147" s="143" t="s">
        <v>398</v>
      </c>
      <c r="C147" s="143" t="s">
        <v>398</v>
      </c>
    </row>
    <row r="148" spans="1:3" x14ac:dyDescent="0.25">
      <c r="A148" s="143" t="s">
        <v>399</v>
      </c>
      <c r="B148" s="143" t="s">
        <v>400</v>
      </c>
      <c r="C148" s="143" t="s">
        <v>400</v>
      </c>
    </row>
    <row r="149" spans="1:3" x14ac:dyDescent="0.25">
      <c r="A149" s="143" t="s">
        <v>401</v>
      </c>
      <c r="B149" s="143" t="s">
        <v>402</v>
      </c>
      <c r="C149" s="143" t="s">
        <v>402</v>
      </c>
    </row>
    <row r="150" spans="1:3" x14ac:dyDescent="0.25">
      <c r="A150" s="143" t="s">
        <v>403</v>
      </c>
      <c r="B150" s="143" t="s">
        <v>404</v>
      </c>
      <c r="C150" s="143" t="s">
        <v>404</v>
      </c>
    </row>
    <row r="151" spans="1:3" x14ac:dyDescent="0.25">
      <c r="A151" s="143" t="s">
        <v>405</v>
      </c>
      <c r="B151" s="143" t="s">
        <v>406</v>
      </c>
      <c r="C151" s="143" t="s">
        <v>406</v>
      </c>
    </row>
    <row r="152" spans="1:3" x14ac:dyDescent="0.25">
      <c r="A152" s="143" t="s">
        <v>407</v>
      </c>
      <c r="B152" s="143" t="s">
        <v>408</v>
      </c>
      <c r="C152" s="143" t="s">
        <v>408</v>
      </c>
    </row>
    <row r="153" spans="1:3" x14ac:dyDescent="0.25">
      <c r="A153" s="143" t="s">
        <v>409</v>
      </c>
      <c r="B153" s="143" t="s">
        <v>410</v>
      </c>
      <c r="C153" s="143" t="s">
        <v>410</v>
      </c>
    </row>
    <row r="154" spans="1:3" x14ac:dyDescent="0.25">
      <c r="A154" s="143" t="s">
        <v>411</v>
      </c>
      <c r="B154" s="143" t="s">
        <v>412</v>
      </c>
      <c r="C154" s="143" t="s">
        <v>412</v>
      </c>
    </row>
    <row r="155" spans="1:3" x14ac:dyDescent="0.25">
      <c r="A155" s="143" t="s">
        <v>413</v>
      </c>
      <c r="B155" s="143" t="s">
        <v>414</v>
      </c>
      <c r="C155" s="143" t="s">
        <v>414</v>
      </c>
    </row>
    <row r="156" spans="1:3" x14ac:dyDescent="0.25">
      <c r="A156" s="143" t="s">
        <v>415</v>
      </c>
      <c r="B156" s="143" t="s">
        <v>416</v>
      </c>
      <c r="C156" s="143" t="s">
        <v>416</v>
      </c>
    </row>
    <row r="157" spans="1:3" x14ac:dyDescent="0.25">
      <c r="A157" s="143" t="s">
        <v>417</v>
      </c>
      <c r="B157" s="143" t="s">
        <v>418</v>
      </c>
      <c r="C157" s="143" t="s">
        <v>418</v>
      </c>
    </row>
    <row r="158" spans="1:3" x14ac:dyDescent="0.25">
      <c r="A158" s="143" t="s">
        <v>419</v>
      </c>
      <c r="B158" s="143" t="s">
        <v>420</v>
      </c>
      <c r="C158" s="143" t="s">
        <v>420</v>
      </c>
    </row>
    <row r="159" spans="1:3" x14ac:dyDescent="0.25">
      <c r="A159" s="143" t="s">
        <v>421</v>
      </c>
      <c r="B159" s="143" t="s">
        <v>422</v>
      </c>
      <c r="C159" s="143" t="s">
        <v>423</v>
      </c>
    </row>
    <row r="160" spans="1:3" x14ac:dyDescent="0.25">
      <c r="A160" s="143" t="s">
        <v>424</v>
      </c>
      <c r="B160" s="143" t="s">
        <v>425</v>
      </c>
      <c r="C160" s="143" t="s">
        <v>425</v>
      </c>
    </row>
    <row r="161" spans="1:3" x14ac:dyDescent="0.25">
      <c r="A161" s="143" t="s">
        <v>426</v>
      </c>
      <c r="B161" s="143" t="s">
        <v>427</v>
      </c>
      <c r="C161" s="143" t="s">
        <v>427</v>
      </c>
    </row>
    <row r="162" spans="1:3" x14ac:dyDescent="0.25">
      <c r="A162" s="143" t="s">
        <v>428</v>
      </c>
      <c r="B162" s="143" t="s">
        <v>429</v>
      </c>
      <c r="C162" s="143" t="s">
        <v>429</v>
      </c>
    </row>
    <row r="163" spans="1:3" x14ac:dyDescent="0.25">
      <c r="A163" s="143" t="s">
        <v>430</v>
      </c>
      <c r="B163" s="143" t="s">
        <v>431</v>
      </c>
      <c r="C163" s="143" t="s">
        <v>432</v>
      </c>
    </row>
    <row r="164" spans="1:3" x14ac:dyDescent="0.25">
      <c r="A164" s="143" t="s">
        <v>433</v>
      </c>
      <c r="B164" s="143" t="s">
        <v>434</v>
      </c>
      <c r="C164" s="143" t="s">
        <v>434</v>
      </c>
    </row>
    <row r="165" spans="1:3" x14ac:dyDescent="0.25">
      <c r="A165" s="143" t="s">
        <v>435</v>
      </c>
      <c r="B165" s="143" t="s">
        <v>436</v>
      </c>
      <c r="C165" s="143" t="s">
        <v>436</v>
      </c>
    </row>
    <row r="166" spans="1:3" x14ac:dyDescent="0.25">
      <c r="A166" s="143" t="s">
        <v>71</v>
      </c>
      <c r="B166" s="143" t="s">
        <v>437</v>
      </c>
      <c r="C166" s="143" t="s">
        <v>437</v>
      </c>
    </row>
    <row r="167" spans="1:3" x14ac:dyDescent="0.25">
      <c r="A167" s="143" t="s">
        <v>438</v>
      </c>
      <c r="B167" s="143" t="s">
        <v>439</v>
      </c>
      <c r="C167" s="143" t="s">
        <v>439</v>
      </c>
    </row>
    <row r="168" spans="1:3" x14ac:dyDescent="0.25">
      <c r="A168" s="143" t="s">
        <v>440</v>
      </c>
      <c r="B168" s="143" t="s">
        <v>441</v>
      </c>
      <c r="C168" s="143" t="s">
        <v>442</v>
      </c>
    </row>
    <row r="169" spans="1:3" x14ac:dyDescent="0.25">
      <c r="A169" s="143" t="s">
        <v>443</v>
      </c>
      <c r="B169" s="143" t="s">
        <v>444</v>
      </c>
      <c r="C169" s="143" t="s">
        <v>444</v>
      </c>
    </row>
    <row r="170" spans="1:3" x14ac:dyDescent="0.25">
      <c r="A170" s="143" t="s">
        <v>445</v>
      </c>
      <c r="B170" s="143" t="s">
        <v>446</v>
      </c>
      <c r="C170" s="143" t="s">
        <v>447</v>
      </c>
    </row>
    <row r="171" spans="1:3" x14ac:dyDescent="0.25">
      <c r="A171" s="143" t="s">
        <v>448</v>
      </c>
      <c r="B171" s="143" t="s">
        <v>449</v>
      </c>
      <c r="C171" s="143" t="s">
        <v>449</v>
      </c>
    </row>
    <row r="172" spans="1:3" x14ac:dyDescent="0.25">
      <c r="A172" s="143" t="s">
        <v>450</v>
      </c>
      <c r="B172" s="143" t="s">
        <v>451</v>
      </c>
      <c r="C172" s="143" t="s">
        <v>451</v>
      </c>
    </row>
    <row r="173" spans="1:3" x14ac:dyDescent="0.25">
      <c r="A173" s="143" t="s">
        <v>452</v>
      </c>
      <c r="B173" s="143" t="s">
        <v>453</v>
      </c>
      <c r="C173" s="143" t="s">
        <v>454</v>
      </c>
    </row>
    <row r="174" spans="1:3" x14ac:dyDescent="0.25">
      <c r="A174" s="143" t="s">
        <v>455</v>
      </c>
      <c r="B174" s="143" t="s">
        <v>456</v>
      </c>
      <c r="C174" s="143" t="s">
        <v>457</v>
      </c>
    </row>
    <row r="175" spans="1:3" x14ac:dyDescent="0.25">
      <c r="A175" s="143" t="s">
        <v>458</v>
      </c>
      <c r="B175" s="143" t="s">
        <v>459</v>
      </c>
      <c r="C175" s="143" t="s">
        <v>459</v>
      </c>
    </row>
    <row r="176" spans="1:3" x14ac:dyDescent="0.25">
      <c r="A176" s="143" t="s">
        <v>460</v>
      </c>
      <c r="B176" s="143" t="s">
        <v>461</v>
      </c>
      <c r="C176" s="143" t="s">
        <v>462</v>
      </c>
    </row>
    <row r="177" spans="1:3" x14ac:dyDescent="0.25">
      <c r="A177" s="143" t="s">
        <v>463</v>
      </c>
      <c r="B177" s="143" t="s">
        <v>464</v>
      </c>
      <c r="C177" s="143" t="s">
        <v>465</v>
      </c>
    </row>
    <row r="178" spans="1:3" x14ac:dyDescent="0.25">
      <c r="A178" s="143" t="s">
        <v>466</v>
      </c>
      <c r="B178" s="143" t="s">
        <v>467</v>
      </c>
      <c r="C178" s="143" t="s">
        <v>468</v>
      </c>
    </row>
    <row r="179" spans="1:3" x14ac:dyDescent="0.25">
      <c r="A179" s="143" t="s">
        <v>469</v>
      </c>
      <c r="B179" s="143" t="s">
        <v>470</v>
      </c>
      <c r="C179" s="143" t="s">
        <v>470</v>
      </c>
    </row>
    <row r="180" spans="1:3" x14ac:dyDescent="0.25">
      <c r="A180" s="143" t="s">
        <v>471</v>
      </c>
      <c r="B180" s="143" t="s">
        <v>472</v>
      </c>
      <c r="C180" s="143" t="s">
        <v>472</v>
      </c>
    </row>
    <row r="181" spans="1:3" x14ac:dyDescent="0.25">
      <c r="A181" s="143" t="s">
        <v>473</v>
      </c>
      <c r="B181" s="143" t="s">
        <v>474</v>
      </c>
      <c r="C181" s="143" t="s">
        <v>474</v>
      </c>
    </row>
    <row r="182" spans="1:3" x14ac:dyDescent="0.25">
      <c r="A182" s="143" t="s">
        <v>475</v>
      </c>
      <c r="B182" s="143" t="s">
        <v>476</v>
      </c>
      <c r="C182" s="143" t="s">
        <v>476</v>
      </c>
    </row>
    <row r="183" spans="1:3" x14ac:dyDescent="0.25">
      <c r="A183" s="143" t="s">
        <v>477</v>
      </c>
      <c r="B183" s="143" t="s">
        <v>478</v>
      </c>
      <c r="C183" s="143" t="s">
        <v>478</v>
      </c>
    </row>
    <row r="184" spans="1:3" x14ac:dyDescent="0.25">
      <c r="A184" s="143" t="s">
        <v>479</v>
      </c>
      <c r="B184" s="143" t="s">
        <v>480</v>
      </c>
      <c r="C184" s="143" t="s">
        <v>481</v>
      </c>
    </row>
    <row r="185" spans="1:3" x14ac:dyDescent="0.25">
      <c r="A185" s="143" t="s">
        <v>482</v>
      </c>
      <c r="B185" s="143" t="s">
        <v>483</v>
      </c>
      <c r="C185" s="143" t="s">
        <v>484</v>
      </c>
    </row>
    <row r="186" spans="1:3" x14ac:dyDescent="0.25">
      <c r="A186" s="143" t="s">
        <v>485</v>
      </c>
      <c r="B186" s="143" t="s">
        <v>128</v>
      </c>
      <c r="C186" s="143" t="s">
        <v>129</v>
      </c>
    </row>
    <row r="187" spans="1:3" x14ac:dyDescent="0.25">
      <c r="A187" s="143" t="s">
        <v>486</v>
      </c>
      <c r="B187" s="143" t="s">
        <v>487</v>
      </c>
      <c r="C187" s="143" t="s">
        <v>488</v>
      </c>
    </row>
    <row r="188" spans="1:3" x14ac:dyDescent="0.25">
      <c r="A188" s="143" t="s">
        <v>489</v>
      </c>
      <c r="B188" s="143" t="s">
        <v>490</v>
      </c>
      <c r="C188" s="143" t="s">
        <v>491</v>
      </c>
    </row>
    <row r="189" spans="1:3" x14ac:dyDescent="0.25">
      <c r="A189" s="143" t="s">
        <v>492</v>
      </c>
      <c r="B189" s="143" t="s">
        <v>175</v>
      </c>
      <c r="C189" s="143" t="s">
        <v>175</v>
      </c>
    </row>
    <row r="190" spans="1:3" x14ac:dyDescent="0.25">
      <c r="A190" s="143" t="s">
        <v>493</v>
      </c>
      <c r="B190" s="143" t="s">
        <v>188</v>
      </c>
      <c r="C190" s="143" t="s">
        <v>188</v>
      </c>
    </row>
    <row r="191" spans="1:3" x14ac:dyDescent="0.25">
      <c r="A191" s="143" t="s">
        <v>494</v>
      </c>
      <c r="B191" s="143" t="s">
        <v>192</v>
      </c>
      <c r="C191" s="143" t="s">
        <v>192</v>
      </c>
    </row>
    <row r="192" spans="1:3" x14ac:dyDescent="0.25">
      <c r="A192" s="143" t="s">
        <v>495</v>
      </c>
      <c r="B192" s="143" t="s">
        <v>125</v>
      </c>
      <c r="C192" s="143" t="s">
        <v>126</v>
      </c>
    </row>
    <row r="193" spans="1:3" x14ac:dyDescent="0.25">
      <c r="A193" s="143" t="s">
        <v>496</v>
      </c>
      <c r="B193" s="143" t="s">
        <v>497</v>
      </c>
      <c r="C193" s="143" t="s">
        <v>498</v>
      </c>
    </row>
    <row r="194" spans="1:3" x14ac:dyDescent="0.25">
      <c r="A194" s="143" t="s">
        <v>499</v>
      </c>
      <c r="B194" s="143" t="s">
        <v>500</v>
      </c>
      <c r="C194" s="143" t="s">
        <v>501</v>
      </c>
    </row>
    <row r="195" spans="1:3" x14ac:dyDescent="0.25">
      <c r="A195" s="143" t="s">
        <v>502</v>
      </c>
      <c r="B195" s="143" t="s">
        <v>503</v>
      </c>
      <c r="C195" s="143" t="s">
        <v>503</v>
      </c>
    </row>
    <row r="196" spans="1:3" x14ac:dyDescent="0.25">
      <c r="A196" s="143" t="s">
        <v>504</v>
      </c>
      <c r="B196" s="143" t="s">
        <v>505</v>
      </c>
      <c r="C196" s="143" t="s">
        <v>506</v>
      </c>
    </row>
    <row r="197" spans="1:3" x14ac:dyDescent="0.25">
      <c r="A197" s="143" t="s">
        <v>507</v>
      </c>
      <c r="B197" s="143" t="s">
        <v>508</v>
      </c>
      <c r="C197" s="143" t="s">
        <v>509</v>
      </c>
    </row>
    <row r="198" spans="1:3" x14ac:dyDescent="0.25">
      <c r="A198" s="143" t="s">
        <v>510</v>
      </c>
      <c r="B198" s="143" t="s">
        <v>511</v>
      </c>
      <c r="C198" s="143" t="s">
        <v>512</v>
      </c>
    </row>
    <row r="199" spans="1:3" x14ac:dyDescent="0.25">
      <c r="A199" s="143" t="s">
        <v>513</v>
      </c>
      <c r="B199" s="143" t="s">
        <v>514</v>
      </c>
      <c r="C199" s="143" t="s">
        <v>515</v>
      </c>
    </row>
    <row r="200" spans="1:3" x14ac:dyDescent="0.25">
      <c r="A200" s="143" t="s">
        <v>516</v>
      </c>
      <c r="B200" s="143" t="s">
        <v>517</v>
      </c>
      <c r="C200" s="143" t="s">
        <v>518</v>
      </c>
    </row>
    <row r="201" spans="1:3" x14ac:dyDescent="0.25">
      <c r="A201" s="143" t="s">
        <v>519</v>
      </c>
      <c r="B201" s="143" t="s">
        <v>520</v>
      </c>
      <c r="C201" s="143" t="s">
        <v>520</v>
      </c>
    </row>
    <row r="202" spans="1:3" x14ac:dyDescent="0.25">
      <c r="A202" s="143" t="s">
        <v>521</v>
      </c>
      <c r="B202" s="143" t="s">
        <v>522</v>
      </c>
      <c r="C202" s="143" t="s">
        <v>522</v>
      </c>
    </row>
    <row r="203" spans="1:3" x14ac:dyDescent="0.25">
      <c r="A203" s="143" t="s">
        <v>523</v>
      </c>
      <c r="B203" s="143" t="s">
        <v>524</v>
      </c>
      <c r="C203" s="143" t="s">
        <v>525</v>
      </c>
    </row>
    <row r="204" spans="1:3" x14ac:dyDescent="0.25">
      <c r="A204" s="143" t="s">
        <v>526</v>
      </c>
      <c r="B204" s="143" t="s">
        <v>527</v>
      </c>
      <c r="C204" s="143" t="s">
        <v>527</v>
      </c>
    </row>
    <row r="205" spans="1:3" x14ac:dyDescent="0.25">
      <c r="A205" s="143" t="s">
        <v>528</v>
      </c>
      <c r="B205" s="143" t="s">
        <v>529</v>
      </c>
      <c r="C205" s="143" t="s">
        <v>530</v>
      </c>
    </row>
    <row r="206" spans="1:3" x14ac:dyDescent="0.25">
      <c r="A206" s="143" t="s">
        <v>531</v>
      </c>
      <c r="B206" s="143" t="s">
        <v>532</v>
      </c>
      <c r="C206" s="143" t="s">
        <v>533</v>
      </c>
    </row>
    <row r="207" spans="1:3" x14ac:dyDescent="0.25">
      <c r="A207" s="143" t="s">
        <v>534</v>
      </c>
      <c r="B207" s="143" t="s">
        <v>535</v>
      </c>
      <c r="C207" s="143" t="s">
        <v>536</v>
      </c>
    </row>
    <row r="208" spans="1:3" x14ac:dyDescent="0.25">
      <c r="A208" s="143" t="s">
        <v>537</v>
      </c>
      <c r="B208" s="143" t="s">
        <v>538</v>
      </c>
      <c r="C208" s="143" t="s">
        <v>538</v>
      </c>
    </row>
    <row r="209" spans="1:3" x14ac:dyDescent="0.25">
      <c r="A209" s="143" t="s">
        <v>539</v>
      </c>
      <c r="B209" s="143" t="s">
        <v>540</v>
      </c>
      <c r="C209" s="143" t="s">
        <v>541</v>
      </c>
    </row>
    <row r="210" spans="1:3" x14ac:dyDescent="0.25">
      <c r="A210" s="143" t="s">
        <v>542</v>
      </c>
      <c r="B210" s="143" t="s">
        <v>543</v>
      </c>
      <c r="C210" s="143" t="s">
        <v>544</v>
      </c>
    </row>
    <row r="211" spans="1:3" x14ac:dyDescent="0.25">
      <c r="A211" s="143" t="s">
        <v>545</v>
      </c>
      <c r="B211" s="143" t="s">
        <v>546</v>
      </c>
      <c r="C211" s="143" t="s">
        <v>547</v>
      </c>
    </row>
    <row r="212" spans="1:3" x14ac:dyDescent="0.25">
      <c r="A212" s="143" t="s">
        <v>548</v>
      </c>
      <c r="B212" s="143" t="s">
        <v>549</v>
      </c>
      <c r="C212" s="143" t="s">
        <v>550</v>
      </c>
    </row>
    <row r="213" spans="1:3" x14ac:dyDescent="0.25">
      <c r="A213" s="143" t="s">
        <v>551</v>
      </c>
      <c r="B213" s="143" t="s">
        <v>552</v>
      </c>
      <c r="C213" s="143" t="s">
        <v>552</v>
      </c>
    </row>
    <row r="214" spans="1:3" x14ac:dyDescent="0.25">
      <c r="A214" s="143" t="s">
        <v>553</v>
      </c>
      <c r="B214" s="143" t="s">
        <v>554</v>
      </c>
      <c r="C214" s="143" t="s">
        <v>554</v>
      </c>
    </row>
    <row r="215" spans="1:3" x14ac:dyDescent="0.25">
      <c r="A215" s="143" t="s">
        <v>555</v>
      </c>
      <c r="B215" s="143" t="s">
        <v>556</v>
      </c>
      <c r="C215" s="143" t="s">
        <v>557</v>
      </c>
    </row>
    <row r="216" spans="1:3" x14ac:dyDescent="0.25">
      <c r="A216" s="143" t="s">
        <v>558</v>
      </c>
      <c r="B216" s="143" t="s">
        <v>559</v>
      </c>
      <c r="C216" s="143" t="s">
        <v>560</v>
      </c>
    </row>
    <row r="217" spans="1:3" x14ac:dyDescent="0.25">
      <c r="A217" s="143" t="s">
        <v>561</v>
      </c>
      <c r="B217" s="143" t="s">
        <v>562</v>
      </c>
      <c r="C217" s="143" t="s">
        <v>563</v>
      </c>
    </row>
    <row r="218" spans="1:3" x14ac:dyDescent="0.25">
      <c r="A218" s="143" t="s">
        <v>564</v>
      </c>
      <c r="B218" s="143" t="s">
        <v>565</v>
      </c>
      <c r="C218" s="143" t="s">
        <v>566</v>
      </c>
    </row>
    <row r="219" spans="1:3" x14ac:dyDescent="0.25">
      <c r="A219" s="143" t="s">
        <v>567</v>
      </c>
      <c r="B219" s="143" t="s">
        <v>568</v>
      </c>
      <c r="C219" s="143" t="s">
        <v>569</v>
      </c>
    </row>
    <row r="220" spans="1:3" x14ac:dyDescent="0.25">
      <c r="A220" s="143" t="s">
        <v>570</v>
      </c>
      <c r="B220" s="143" t="s">
        <v>571</v>
      </c>
      <c r="C220" s="143" t="s">
        <v>571</v>
      </c>
    </row>
    <row r="221" spans="1:3" x14ac:dyDescent="0.25">
      <c r="A221" s="143" t="s">
        <v>572</v>
      </c>
      <c r="B221" s="143" t="s">
        <v>573</v>
      </c>
      <c r="C221" s="143" t="s">
        <v>573</v>
      </c>
    </row>
    <row r="222" spans="1:3" x14ac:dyDescent="0.25">
      <c r="A222" s="143" t="s">
        <v>574</v>
      </c>
      <c r="B222" s="143" t="s">
        <v>575</v>
      </c>
      <c r="C222" s="143" t="s">
        <v>575</v>
      </c>
    </row>
    <row r="223" spans="1:3" x14ac:dyDescent="0.25">
      <c r="A223" s="143" t="s">
        <v>576</v>
      </c>
      <c r="B223" s="143" t="s">
        <v>577</v>
      </c>
      <c r="C223" s="143" t="s">
        <v>577</v>
      </c>
    </row>
    <row r="224" spans="1:3" x14ac:dyDescent="0.25">
      <c r="A224" s="143" t="s">
        <v>578</v>
      </c>
      <c r="B224" s="143" t="s">
        <v>579</v>
      </c>
      <c r="C224" s="143" t="s">
        <v>579</v>
      </c>
    </row>
    <row r="225" spans="1:3" x14ac:dyDescent="0.25">
      <c r="A225" s="143" t="s">
        <v>580</v>
      </c>
      <c r="B225" s="143" t="s">
        <v>581</v>
      </c>
      <c r="C225" s="143" t="s">
        <v>581</v>
      </c>
    </row>
    <row r="226" spans="1:3" x14ac:dyDescent="0.25">
      <c r="A226" s="143" t="s">
        <v>582</v>
      </c>
      <c r="B226" s="143" t="s">
        <v>583</v>
      </c>
      <c r="C226" s="143" t="s">
        <v>583</v>
      </c>
    </row>
    <row r="227" spans="1:3" x14ac:dyDescent="0.25">
      <c r="A227" s="143" t="s">
        <v>584</v>
      </c>
      <c r="B227" s="143" t="s">
        <v>585</v>
      </c>
      <c r="C227" s="143" t="s">
        <v>585</v>
      </c>
    </row>
    <row r="228" spans="1:3" x14ac:dyDescent="0.25">
      <c r="A228" s="143" t="s">
        <v>586</v>
      </c>
      <c r="B228" s="143" t="s">
        <v>587</v>
      </c>
      <c r="C228" s="143" t="s">
        <v>587</v>
      </c>
    </row>
    <row r="229" spans="1:3" x14ac:dyDescent="0.25">
      <c r="A229" s="143" t="s">
        <v>588</v>
      </c>
      <c r="B229" s="143" t="s">
        <v>589</v>
      </c>
      <c r="C229" s="143" t="s">
        <v>589</v>
      </c>
    </row>
    <row r="230" spans="1:3" x14ac:dyDescent="0.25">
      <c r="A230" s="143" t="s">
        <v>590</v>
      </c>
      <c r="B230" s="143" t="s">
        <v>591</v>
      </c>
      <c r="C230" s="143" t="s">
        <v>591</v>
      </c>
    </row>
    <row r="231" spans="1:3" x14ac:dyDescent="0.25">
      <c r="A231" s="143" t="s">
        <v>592</v>
      </c>
      <c r="B231" s="143" t="s">
        <v>593</v>
      </c>
      <c r="C231" s="143" t="s">
        <v>593</v>
      </c>
    </row>
    <row r="232" spans="1:3" x14ac:dyDescent="0.25">
      <c r="A232" s="143" t="s">
        <v>594</v>
      </c>
      <c r="B232" s="143" t="s">
        <v>595</v>
      </c>
      <c r="C232" s="143" t="s">
        <v>595</v>
      </c>
    </row>
    <row r="233" spans="1:3" x14ac:dyDescent="0.25">
      <c r="A233" s="143" t="s">
        <v>596</v>
      </c>
      <c r="B233" s="143" t="s">
        <v>597</v>
      </c>
      <c r="C233" s="143" t="s">
        <v>597</v>
      </c>
    </row>
    <row r="234" spans="1:3" x14ac:dyDescent="0.25">
      <c r="A234" s="143" t="s">
        <v>598</v>
      </c>
      <c r="B234" s="143" t="s">
        <v>599</v>
      </c>
      <c r="C234" s="143" t="s">
        <v>599</v>
      </c>
    </row>
    <row r="235" spans="1:3" x14ac:dyDescent="0.25">
      <c r="A235" s="143" t="s">
        <v>600</v>
      </c>
      <c r="B235" s="143" t="s">
        <v>601</v>
      </c>
      <c r="C235" s="143" t="s">
        <v>601</v>
      </c>
    </row>
    <row r="236" spans="1:3" x14ac:dyDescent="0.25">
      <c r="A236" s="143" t="s">
        <v>602</v>
      </c>
      <c r="B236" s="143" t="s">
        <v>603</v>
      </c>
      <c r="C236" s="143" t="s">
        <v>603</v>
      </c>
    </row>
    <row r="237" spans="1:3" x14ac:dyDescent="0.25">
      <c r="A237" s="143" t="s">
        <v>604</v>
      </c>
      <c r="B237" s="143" t="s">
        <v>605</v>
      </c>
      <c r="C237" s="143" t="s">
        <v>605</v>
      </c>
    </row>
    <row r="238" spans="1:3" x14ac:dyDescent="0.25">
      <c r="A238" s="143" t="s">
        <v>606</v>
      </c>
      <c r="B238" s="143" t="s">
        <v>607</v>
      </c>
      <c r="C238" s="143" t="s">
        <v>607</v>
      </c>
    </row>
    <row r="239" spans="1:3" x14ac:dyDescent="0.25">
      <c r="A239" s="143" t="s">
        <v>608</v>
      </c>
      <c r="B239" s="143" t="s">
        <v>609</v>
      </c>
      <c r="C239" s="143" t="s">
        <v>609</v>
      </c>
    </row>
    <row r="240" spans="1:3" x14ac:dyDescent="0.25">
      <c r="A240" s="143" t="s">
        <v>610</v>
      </c>
      <c r="B240" s="143" t="s">
        <v>611</v>
      </c>
      <c r="C240" s="143" t="s">
        <v>611</v>
      </c>
    </row>
    <row r="241" spans="1:3" x14ac:dyDescent="0.25">
      <c r="A241" s="143" t="s">
        <v>612</v>
      </c>
      <c r="B241" s="143" t="s">
        <v>613</v>
      </c>
      <c r="C241" s="143" t="s">
        <v>613</v>
      </c>
    </row>
    <row r="242" spans="1:3" x14ac:dyDescent="0.25">
      <c r="A242" s="143" t="s">
        <v>614</v>
      </c>
      <c r="B242" s="143" t="s">
        <v>615</v>
      </c>
      <c r="C242" s="143" t="s">
        <v>615</v>
      </c>
    </row>
    <row r="243" spans="1:3" x14ac:dyDescent="0.25">
      <c r="A243" s="143" t="s">
        <v>616</v>
      </c>
      <c r="B243" s="143" t="s">
        <v>617</v>
      </c>
      <c r="C243" s="143" t="s">
        <v>617</v>
      </c>
    </row>
    <row r="244" spans="1:3" x14ac:dyDescent="0.25">
      <c r="A244" s="143" t="s">
        <v>618</v>
      </c>
      <c r="B244" s="143" t="s">
        <v>552</v>
      </c>
      <c r="C244" s="143" t="s">
        <v>552</v>
      </c>
    </row>
    <row r="245" spans="1:3" x14ac:dyDescent="0.25">
      <c r="A245" s="143" t="s">
        <v>619</v>
      </c>
      <c r="B245" s="143" t="s">
        <v>620</v>
      </c>
      <c r="C245" s="143" t="s">
        <v>620</v>
      </c>
    </row>
    <row r="246" spans="1:3" x14ac:dyDescent="0.25">
      <c r="A246" s="143" t="s">
        <v>621</v>
      </c>
      <c r="B246" s="143" t="s">
        <v>622</v>
      </c>
      <c r="C246" s="143" t="s">
        <v>622</v>
      </c>
    </row>
    <row r="247" spans="1:3" x14ac:dyDescent="0.25">
      <c r="A247" s="143" t="s">
        <v>623</v>
      </c>
      <c r="B247" s="143" t="s">
        <v>624</v>
      </c>
      <c r="C247" s="143" t="s">
        <v>624</v>
      </c>
    </row>
    <row r="248" spans="1:3" x14ac:dyDescent="0.25">
      <c r="A248" s="143" t="s">
        <v>625</v>
      </c>
      <c r="B248" s="143" t="s">
        <v>626</v>
      </c>
      <c r="C248" s="143" t="s">
        <v>626</v>
      </c>
    </row>
    <row r="249" spans="1:3" x14ac:dyDescent="0.25">
      <c r="A249" s="143" t="s">
        <v>627</v>
      </c>
      <c r="B249" s="143" t="s">
        <v>628</v>
      </c>
      <c r="C249" s="143" t="s">
        <v>628</v>
      </c>
    </row>
    <row r="250" spans="1:3" x14ac:dyDescent="0.25">
      <c r="A250" s="143" t="s">
        <v>68</v>
      </c>
      <c r="B250" s="143" t="s">
        <v>436</v>
      </c>
      <c r="C250" s="143" t="s">
        <v>436</v>
      </c>
    </row>
    <row r="251" spans="1:3" x14ac:dyDescent="0.25">
      <c r="A251" s="143" t="s">
        <v>629</v>
      </c>
      <c r="B251" s="143" t="s">
        <v>439</v>
      </c>
      <c r="C251" s="143" t="s">
        <v>439</v>
      </c>
    </row>
    <row r="252" spans="1:3" x14ac:dyDescent="0.25">
      <c r="A252" s="143" t="s">
        <v>630</v>
      </c>
      <c r="B252" s="143" t="s">
        <v>631</v>
      </c>
      <c r="C252" s="143" t="s">
        <v>631</v>
      </c>
    </row>
    <row r="253" spans="1:3" x14ac:dyDescent="0.25">
      <c r="A253" s="143" t="s">
        <v>632</v>
      </c>
      <c r="B253" s="143" t="s">
        <v>633</v>
      </c>
      <c r="C253" s="143" t="s">
        <v>633</v>
      </c>
    </row>
    <row r="254" spans="1:3" x14ac:dyDescent="0.25">
      <c r="A254" s="143" t="s">
        <v>634</v>
      </c>
      <c r="B254" s="143" t="s">
        <v>635</v>
      </c>
      <c r="C254" s="143" t="s">
        <v>636</v>
      </c>
    </row>
    <row r="255" spans="1:3" x14ac:dyDescent="0.25">
      <c r="A255" s="143" t="s">
        <v>637</v>
      </c>
      <c r="B255" s="143" t="s">
        <v>638</v>
      </c>
      <c r="C255" s="143" t="s">
        <v>638</v>
      </c>
    </row>
    <row r="256" spans="1:3" x14ac:dyDescent="0.25">
      <c r="A256" s="143" t="s">
        <v>639</v>
      </c>
      <c r="B256" s="143" t="s">
        <v>640</v>
      </c>
      <c r="C256" s="143" t="s">
        <v>640</v>
      </c>
    </row>
    <row r="257" spans="1:3" x14ac:dyDescent="0.25">
      <c r="A257" s="143" t="s">
        <v>641</v>
      </c>
      <c r="B257" s="143" t="s">
        <v>642</v>
      </c>
      <c r="C257" s="143" t="s">
        <v>642</v>
      </c>
    </row>
    <row r="258" spans="1:3" x14ac:dyDescent="0.25">
      <c r="A258" s="143" t="s">
        <v>643</v>
      </c>
      <c r="B258" s="143" t="s">
        <v>644</v>
      </c>
      <c r="C258" s="143" t="s">
        <v>644</v>
      </c>
    </row>
    <row r="259" spans="1:3" x14ac:dyDescent="0.25">
      <c r="A259" s="143" t="s">
        <v>645</v>
      </c>
      <c r="B259" s="143" t="s">
        <v>646</v>
      </c>
      <c r="C259" s="143" t="s">
        <v>646</v>
      </c>
    </row>
    <row r="260" spans="1:3" x14ac:dyDescent="0.25">
      <c r="A260" s="143" t="s">
        <v>647</v>
      </c>
      <c r="B260" s="143" t="s">
        <v>648</v>
      </c>
      <c r="C260" s="143" t="s">
        <v>648</v>
      </c>
    </row>
    <row r="261" spans="1:3" x14ac:dyDescent="0.25">
      <c r="A261" s="143" t="s">
        <v>649</v>
      </c>
      <c r="B261" s="143" t="s">
        <v>297</v>
      </c>
      <c r="C261" s="143" t="s">
        <v>297</v>
      </c>
    </row>
    <row r="262" spans="1:3" x14ac:dyDescent="0.25">
      <c r="A262" s="143" t="s">
        <v>650</v>
      </c>
      <c r="B262" s="143" t="s">
        <v>402</v>
      </c>
      <c r="C262" s="143" t="s">
        <v>402</v>
      </c>
    </row>
    <row r="263" spans="1:3" x14ac:dyDescent="0.25">
      <c r="A263" s="143" t="s">
        <v>651</v>
      </c>
      <c r="B263" s="143" t="s">
        <v>652</v>
      </c>
      <c r="C263" s="143" t="s">
        <v>652</v>
      </c>
    </row>
    <row r="264" spans="1:3" x14ac:dyDescent="0.25">
      <c r="A264" s="143" t="s">
        <v>653</v>
      </c>
      <c r="B264" s="143" t="s">
        <v>654</v>
      </c>
      <c r="C264" s="143" t="s">
        <v>654</v>
      </c>
    </row>
    <row r="265" spans="1:3" x14ac:dyDescent="0.25">
      <c r="A265" s="143" t="s">
        <v>655</v>
      </c>
      <c r="B265" s="143" t="s">
        <v>295</v>
      </c>
      <c r="C265" s="143" t="s">
        <v>295</v>
      </c>
    </row>
    <row r="266" spans="1:3" x14ac:dyDescent="0.25">
      <c r="A266" s="143" t="s">
        <v>656</v>
      </c>
      <c r="B266" s="143" t="s">
        <v>657</v>
      </c>
      <c r="C266" s="143" t="s">
        <v>657</v>
      </c>
    </row>
    <row r="267" spans="1:3" x14ac:dyDescent="0.25">
      <c r="A267" s="143" t="s">
        <v>658</v>
      </c>
      <c r="B267" s="143" t="s">
        <v>659</v>
      </c>
      <c r="C267" s="143" t="s">
        <v>659</v>
      </c>
    </row>
    <row r="268" spans="1:3" x14ac:dyDescent="0.25">
      <c r="A268" s="143" t="s">
        <v>660</v>
      </c>
      <c r="B268" s="143" t="s">
        <v>661</v>
      </c>
      <c r="C268" s="143" t="s">
        <v>661</v>
      </c>
    </row>
    <row r="269" spans="1:3" x14ac:dyDescent="0.25">
      <c r="A269" s="143" t="s">
        <v>662</v>
      </c>
      <c r="B269" s="143" t="s">
        <v>663</v>
      </c>
      <c r="C269" s="143" t="s">
        <v>663</v>
      </c>
    </row>
    <row r="270" spans="1:3" x14ac:dyDescent="0.25">
      <c r="A270" s="143" t="s">
        <v>664</v>
      </c>
      <c r="B270" s="143" t="s">
        <v>665</v>
      </c>
      <c r="C270" s="143" t="s">
        <v>665</v>
      </c>
    </row>
    <row r="271" spans="1:3" x14ac:dyDescent="0.25">
      <c r="A271" s="143" t="s">
        <v>666</v>
      </c>
      <c r="B271" s="143" t="s">
        <v>667</v>
      </c>
      <c r="C271" s="143" t="s">
        <v>667</v>
      </c>
    </row>
    <row r="272" spans="1:3" x14ac:dyDescent="0.25">
      <c r="A272" s="143" t="s">
        <v>668</v>
      </c>
      <c r="B272" s="143" t="s">
        <v>669</v>
      </c>
      <c r="C272" s="143" t="s">
        <v>669</v>
      </c>
    </row>
    <row r="273" spans="1:3" x14ac:dyDescent="0.25">
      <c r="A273" s="143" t="s">
        <v>670</v>
      </c>
      <c r="B273" s="143" t="s">
        <v>671</v>
      </c>
      <c r="C273" s="143" t="s">
        <v>671</v>
      </c>
    </row>
    <row r="274" spans="1:3" x14ac:dyDescent="0.25">
      <c r="A274" s="143" t="s">
        <v>672</v>
      </c>
      <c r="B274" s="143" t="s">
        <v>673</v>
      </c>
      <c r="C274" s="143" t="s">
        <v>673</v>
      </c>
    </row>
    <row r="275" spans="1:3" x14ac:dyDescent="0.25">
      <c r="A275" s="143" t="s">
        <v>674</v>
      </c>
      <c r="B275" s="143" t="s">
        <v>297</v>
      </c>
      <c r="C275" s="143" t="s">
        <v>297</v>
      </c>
    </row>
    <row r="276" spans="1:3" x14ac:dyDescent="0.25">
      <c r="A276" s="143" t="s">
        <v>675</v>
      </c>
      <c r="B276" s="143" t="s">
        <v>676</v>
      </c>
      <c r="C276" s="143" t="s">
        <v>676</v>
      </c>
    </row>
    <row r="277" spans="1:3" x14ac:dyDescent="0.25">
      <c r="A277" s="143" t="s">
        <v>677</v>
      </c>
      <c r="B277" s="143" t="s">
        <v>678</v>
      </c>
      <c r="C277" s="143" t="s">
        <v>678</v>
      </c>
    </row>
    <row r="278" spans="1:3" x14ac:dyDescent="0.25">
      <c r="A278" s="143" t="s">
        <v>679</v>
      </c>
      <c r="B278" s="143" t="s">
        <v>680</v>
      </c>
      <c r="C278" s="143" t="s">
        <v>680</v>
      </c>
    </row>
    <row r="279" spans="1:3" x14ac:dyDescent="0.25">
      <c r="A279" s="143" t="s">
        <v>681</v>
      </c>
      <c r="B279" s="143" t="s">
        <v>671</v>
      </c>
      <c r="C279" s="143" t="s">
        <v>671</v>
      </c>
    </row>
    <row r="280" spans="1:3" x14ac:dyDescent="0.25">
      <c r="A280" s="143" t="s">
        <v>682</v>
      </c>
      <c r="B280" s="143" t="s">
        <v>683</v>
      </c>
      <c r="C280" s="143" t="s">
        <v>683</v>
      </c>
    </row>
    <row r="281" spans="1:3" x14ac:dyDescent="0.25">
      <c r="A281" s="143" t="s">
        <v>684</v>
      </c>
      <c r="B281" s="143" t="s">
        <v>685</v>
      </c>
      <c r="C281" s="143" t="s">
        <v>685</v>
      </c>
    </row>
    <row r="282" spans="1:3" x14ac:dyDescent="0.25">
      <c r="A282" s="143" t="s">
        <v>686</v>
      </c>
      <c r="B282" s="143" t="s">
        <v>687</v>
      </c>
      <c r="C282" s="143" t="s">
        <v>687</v>
      </c>
    </row>
    <row r="283" spans="1:3" x14ac:dyDescent="0.25">
      <c r="A283" s="143" t="s">
        <v>688</v>
      </c>
      <c r="B283" s="143" t="s">
        <v>689</v>
      </c>
      <c r="C283" s="143" t="s">
        <v>689</v>
      </c>
    </row>
    <row r="284" spans="1:3" x14ac:dyDescent="0.25">
      <c r="A284" s="143" t="s">
        <v>690</v>
      </c>
      <c r="B284" s="143" t="s">
        <v>691</v>
      </c>
      <c r="C284" s="143" t="s">
        <v>691</v>
      </c>
    </row>
    <row r="285" spans="1:3" x14ac:dyDescent="0.25">
      <c r="A285" s="143" t="s">
        <v>692</v>
      </c>
      <c r="B285" s="143" t="s">
        <v>693</v>
      </c>
      <c r="C285" s="143" t="s">
        <v>693</v>
      </c>
    </row>
    <row r="286" spans="1:3" x14ac:dyDescent="0.25">
      <c r="A286" s="143" t="s">
        <v>694</v>
      </c>
      <c r="B286" s="143" t="s">
        <v>695</v>
      </c>
      <c r="C286" s="143" t="s">
        <v>695</v>
      </c>
    </row>
    <row r="287" spans="1:3" x14ac:dyDescent="0.25">
      <c r="A287" s="143" t="s">
        <v>696</v>
      </c>
      <c r="B287" s="143" t="s">
        <v>697</v>
      </c>
      <c r="C287" s="143" t="s">
        <v>697</v>
      </c>
    </row>
    <row r="288" spans="1:3" x14ac:dyDescent="0.25">
      <c r="A288" s="143" t="s">
        <v>698</v>
      </c>
      <c r="B288" s="143" t="s">
        <v>699</v>
      </c>
      <c r="C288" s="143" t="s">
        <v>699</v>
      </c>
    </row>
    <row r="289" spans="1:3" x14ac:dyDescent="0.25">
      <c r="A289" s="143" t="s">
        <v>700</v>
      </c>
      <c r="B289" s="143" t="s">
        <v>676</v>
      </c>
      <c r="C289" s="143" t="s">
        <v>676</v>
      </c>
    </row>
    <row r="290" spans="1:3" x14ac:dyDescent="0.25">
      <c r="A290" s="143" t="s">
        <v>701</v>
      </c>
      <c r="B290" s="143" t="s">
        <v>702</v>
      </c>
      <c r="C290" s="143" t="s">
        <v>702</v>
      </c>
    </row>
    <row r="291" spans="1:3" x14ac:dyDescent="0.25">
      <c r="A291" s="143" t="s">
        <v>703</v>
      </c>
      <c r="B291" s="143" t="s">
        <v>704</v>
      </c>
      <c r="C291" s="143" t="s">
        <v>704</v>
      </c>
    </row>
    <row r="292" spans="1:3" x14ac:dyDescent="0.25">
      <c r="A292" s="143" t="s">
        <v>705</v>
      </c>
      <c r="B292" s="143" t="s">
        <v>706</v>
      </c>
      <c r="C292" s="143" t="s">
        <v>706</v>
      </c>
    </row>
    <row r="293" spans="1:3" x14ac:dyDescent="0.25">
      <c r="A293" s="143" t="s">
        <v>707</v>
      </c>
      <c r="B293" s="143" t="s">
        <v>113</v>
      </c>
      <c r="C293" s="143" t="s">
        <v>113</v>
      </c>
    </row>
    <row r="294" spans="1:3" x14ac:dyDescent="0.25">
      <c r="A294" s="143" t="s">
        <v>708</v>
      </c>
      <c r="B294" s="143" t="s">
        <v>246</v>
      </c>
      <c r="C294" s="143" t="s">
        <v>246</v>
      </c>
    </row>
    <row r="295" spans="1:3" x14ac:dyDescent="0.25">
      <c r="A295" s="143" t="s">
        <v>709</v>
      </c>
      <c r="B295" s="143" t="s">
        <v>710</v>
      </c>
      <c r="C295" s="143" t="s">
        <v>710</v>
      </c>
    </row>
    <row r="296" spans="1:3" x14ac:dyDescent="0.25">
      <c r="A296" s="143" t="s">
        <v>711</v>
      </c>
      <c r="B296" s="143" t="s">
        <v>712</v>
      </c>
      <c r="C296" s="143" t="s">
        <v>712</v>
      </c>
    </row>
    <row r="297" spans="1:3" x14ac:dyDescent="0.25">
      <c r="A297" s="143" t="s">
        <v>713</v>
      </c>
      <c r="B297" s="143" t="s">
        <v>714</v>
      </c>
      <c r="C297" s="143" t="s">
        <v>714</v>
      </c>
    </row>
    <row r="298" spans="1:3" x14ac:dyDescent="0.25">
      <c r="A298" s="143" t="s">
        <v>715</v>
      </c>
      <c r="B298" s="143" t="s">
        <v>716</v>
      </c>
      <c r="C298" s="143" t="s">
        <v>716</v>
      </c>
    </row>
    <row r="299" spans="1:3" x14ac:dyDescent="0.25">
      <c r="A299" s="143" t="s">
        <v>717</v>
      </c>
      <c r="B299" s="143" t="s">
        <v>718</v>
      </c>
      <c r="C299" s="143" t="s">
        <v>718</v>
      </c>
    </row>
    <row r="300" spans="1:3" x14ac:dyDescent="0.25">
      <c r="A300" s="143" t="s">
        <v>719</v>
      </c>
      <c r="B300" s="143" t="s">
        <v>720</v>
      </c>
      <c r="C300" s="143" t="s">
        <v>720</v>
      </c>
    </row>
    <row r="301" spans="1:3" x14ac:dyDescent="0.25">
      <c r="A301" s="143" t="s">
        <v>721</v>
      </c>
      <c r="B301" s="143" t="s">
        <v>722</v>
      </c>
      <c r="C301" s="143" t="s">
        <v>722</v>
      </c>
    </row>
    <row r="302" spans="1:3" x14ac:dyDescent="0.25">
      <c r="A302" s="143" t="s">
        <v>723</v>
      </c>
      <c r="B302" s="143" t="s">
        <v>724</v>
      </c>
      <c r="C302" s="143" t="s">
        <v>724</v>
      </c>
    </row>
    <row r="303" spans="1:3" x14ac:dyDescent="0.25">
      <c r="A303" s="143" t="s">
        <v>725</v>
      </c>
      <c r="B303" s="143" t="s">
        <v>726</v>
      </c>
      <c r="C303" s="143" t="s">
        <v>726</v>
      </c>
    </row>
    <row r="304" spans="1:3" x14ac:dyDescent="0.25">
      <c r="A304" s="143" t="s">
        <v>727</v>
      </c>
      <c r="B304" s="143" t="s">
        <v>117</v>
      </c>
      <c r="C304" s="143" t="s">
        <v>117</v>
      </c>
    </row>
    <row r="305" spans="1:3" x14ac:dyDescent="0.25">
      <c r="A305" s="143" t="s">
        <v>728</v>
      </c>
      <c r="B305" s="143" t="s">
        <v>729</v>
      </c>
      <c r="C305" s="143" t="s">
        <v>729</v>
      </c>
    </row>
    <row r="306" spans="1:3" x14ac:dyDescent="0.25">
      <c r="A306" s="143" t="s">
        <v>730</v>
      </c>
      <c r="B306" s="143" t="s">
        <v>654</v>
      </c>
      <c r="C306" s="143" t="s">
        <v>654</v>
      </c>
    </row>
    <row r="307" spans="1:3" x14ac:dyDescent="0.25">
      <c r="A307" s="143" t="s">
        <v>731</v>
      </c>
      <c r="B307" s="143" t="s">
        <v>732</v>
      </c>
      <c r="C307" s="143" t="s">
        <v>732</v>
      </c>
    </row>
    <row r="308" spans="1:3" x14ac:dyDescent="0.25">
      <c r="A308" s="143" t="s">
        <v>733</v>
      </c>
      <c r="B308" s="143" t="s">
        <v>734</v>
      </c>
      <c r="C308" s="143" t="s">
        <v>734</v>
      </c>
    </row>
    <row r="309" spans="1:3" x14ac:dyDescent="0.25">
      <c r="A309" s="143" t="s">
        <v>735</v>
      </c>
      <c r="B309" s="143" t="s">
        <v>736</v>
      </c>
      <c r="C309" s="143" t="s">
        <v>736</v>
      </c>
    </row>
    <row r="310" spans="1:3" x14ac:dyDescent="0.25">
      <c r="A310" s="143" t="s">
        <v>737</v>
      </c>
      <c r="B310" s="143" t="s">
        <v>119</v>
      </c>
      <c r="C310" s="143" t="s">
        <v>119</v>
      </c>
    </row>
    <row r="311" spans="1:3" x14ac:dyDescent="0.25">
      <c r="A311" s="143" t="s">
        <v>738</v>
      </c>
      <c r="B311" s="143" t="s">
        <v>739</v>
      </c>
      <c r="C311" s="143" t="s">
        <v>739</v>
      </c>
    </row>
    <row r="312" spans="1:3" x14ac:dyDescent="0.25">
      <c r="A312" s="143" t="s">
        <v>740</v>
      </c>
      <c r="B312" s="143" t="s">
        <v>741</v>
      </c>
      <c r="C312" s="143" t="s">
        <v>741</v>
      </c>
    </row>
    <row r="313" spans="1:3" x14ac:dyDescent="0.25">
      <c r="A313" s="143" t="s">
        <v>742</v>
      </c>
      <c r="B313" s="143" t="s">
        <v>743</v>
      </c>
      <c r="C313" s="143" t="s">
        <v>743</v>
      </c>
    </row>
    <row r="314" spans="1:3" x14ac:dyDescent="0.25">
      <c r="A314" s="143" t="s">
        <v>744</v>
      </c>
      <c r="B314" s="143" t="s">
        <v>745</v>
      </c>
      <c r="C314" s="143" t="s">
        <v>745</v>
      </c>
    </row>
    <row r="315" spans="1:3" x14ac:dyDescent="0.25">
      <c r="A315" s="143" t="s">
        <v>746</v>
      </c>
      <c r="B315" s="143" t="s">
        <v>145</v>
      </c>
      <c r="C315" s="143" t="s">
        <v>145</v>
      </c>
    </row>
    <row r="316" spans="1:3" x14ac:dyDescent="0.25">
      <c r="A316" s="143" t="s">
        <v>747</v>
      </c>
      <c r="B316" s="143" t="s">
        <v>748</v>
      </c>
      <c r="C316" s="143" t="s">
        <v>748</v>
      </c>
    </row>
    <row r="317" spans="1:3" x14ac:dyDescent="0.25">
      <c r="A317" s="143" t="s">
        <v>749</v>
      </c>
      <c r="B317" s="143" t="s">
        <v>750</v>
      </c>
      <c r="C317" s="143" t="s">
        <v>750</v>
      </c>
    </row>
    <row r="318" spans="1:3" x14ac:dyDescent="0.25">
      <c r="A318" s="143" t="s">
        <v>751</v>
      </c>
      <c r="B318" s="143" t="s">
        <v>194</v>
      </c>
      <c r="C318" s="143" t="s">
        <v>194</v>
      </c>
    </row>
    <row r="319" spans="1:3" x14ac:dyDescent="0.25">
      <c r="A319" s="143" t="s">
        <v>752</v>
      </c>
      <c r="B319" s="143" t="s">
        <v>310</v>
      </c>
      <c r="C319" s="143" t="s">
        <v>310</v>
      </c>
    </row>
    <row r="320" spans="1:3" x14ac:dyDescent="0.25">
      <c r="A320" s="143" t="s">
        <v>753</v>
      </c>
      <c r="B320" s="143" t="s">
        <v>754</v>
      </c>
      <c r="C320" s="143" t="s">
        <v>754</v>
      </c>
    </row>
    <row r="321" spans="1:3" x14ac:dyDescent="0.25">
      <c r="A321" s="143" t="s">
        <v>755</v>
      </c>
      <c r="B321" s="143" t="s">
        <v>756</v>
      </c>
      <c r="C321" s="143" t="s">
        <v>756</v>
      </c>
    </row>
    <row r="322" spans="1:3" x14ac:dyDescent="0.25">
      <c r="A322" s="143" t="s">
        <v>757</v>
      </c>
      <c r="B322" s="143" t="s">
        <v>758</v>
      </c>
      <c r="C322" s="143" t="s">
        <v>758</v>
      </c>
    </row>
    <row r="323" spans="1:3" x14ac:dyDescent="0.25">
      <c r="A323" s="143" t="s">
        <v>759</v>
      </c>
      <c r="B323" s="143" t="s">
        <v>760</v>
      </c>
      <c r="C323" s="143" t="s">
        <v>760</v>
      </c>
    </row>
    <row r="324" spans="1:3" x14ac:dyDescent="0.25">
      <c r="A324" s="143" t="s">
        <v>761</v>
      </c>
      <c r="B324" s="143" t="s">
        <v>762</v>
      </c>
      <c r="C324" s="143" t="s">
        <v>762</v>
      </c>
    </row>
    <row r="325" spans="1:3" x14ac:dyDescent="0.25">
      <c r="A325" s="143" t="s">
        <v>763</v>
      </c>
      <c r="B325" s="143" t="s">
        <v>764</v>
      </c>
      <c r="C325" s="143" t="s">
        <v>764</v>
      </c>
    </row>
    <row r="326" spans="1:3" x14ac:dyDescent="0.25">
      <c r="A326" s="143" t="s">
        <v>765</v>
      </c>
      <c r="B326" s="143" t="s">
        <v>248</v>
      </c>
      <c r="C326" s="143" t="s">
        <v>248</v>
      </c>
    </row>
    <row r="327" spans="1:3" x14ac:dyDescent="0.25">
      <c r="A327" s="143" t="s">
        <v>766</v>
      </c>
      <c r="B327" s="143" t="s">
        <v>767</v>
      </c>
      <c r="C327" s="143" t="s">
        <v>767</v>
      </c>
    </row>
    <row r="328" spans="1:3" x14ac:dyDescent="0.25">
      <c r="A328" s="143" t="s">
        <v>768</v>
      </c>
      <c r="B328" s="143" t="s">
        <v>769</v>
      </c>
      <c r="C328" s="143" t="s">
        <v>769</v>
      </c>
    </row>
    <row r="329" spans="1:3" x14ac:dyDescent="0.25">
      <c r="A329" s="143" t="s">
        <v>770</v>
      </c>
      <c r="B329" s="143" t="s">
        <v>771</v>
      </c>
      <c r="C329" s="143" t="s">
        <v>771</v>
      </c>
    </row>
    <row r="330" spans="1:3" x14ac:dyDescent="0.25">
      <c r="A330" s="143" t="s">
        <v>772</v>
      </c>
      <c r="B330" s="143" t="s">
        <v>773</v>
      </c>
      <c r="C330" s="143" t="s">
        <v>773</v>
      </c>
    </row>
    <row r="331" spans="1:3" x14ac:dyDescent="0.25">
      <c r="A331" s="143" t="s">
        <v>774</v>
      </c>
      <c r="B331" s="143" t="s">
        <v>775</v>
      </c>
      <c r="C331" s="143" t="s">
        <v>775</v>
      </c>
    </row>
    <row r="332" spans="1:3" x14ac:dyDescent="0.25">
      <c r="A332" s="143" t="s">
        <v>776</v>
      </c>
      <c r="B332" s="143" t="s">
        <v>777</v>
      </c>
      <c r="C332" s="143" t="s">
        <v>777</v>
      </c>
    </row>
    <row r="333" spans="1:3" x14ac:dyDescent="0.25">
      <c r="A333" s="143" t="s">
        <v>778</v>
      </c>
      <c r="B333" s="143" t="s">
        <v>779</v>
      </c>
      <c r="C333" s="143" t="s">
        <v>779</v>
      </c>
    </row>
    <row r="334" spans="1:3" x14ac:dyDescent="0.25">
      <c r="A334" s="143" t="s">
        <v>780</v>
      </c>
      <c r="B334" s="143" t="s">
        <v>659</v>
      </c>
      <c r="C334" s="143" t="s">
        <v>659</v>
      </c>
    </row>
    <row r="335" spans="1:3" x14ac:dyDescent="0.25">
      <c r="A335" s="143" t="s">
        <v>781</v>
      </c>
      <c r="B335" s="143" t="s">
        <v>782</v>
      </c>
      <c r="C335" s="143" t="s">
        <v>782</v>
      </c>
    </row>
    <row r="336" spans="1:3" x14ac:dyDescent="0.25">
      <c r="A336" s="143" t="s">
        <v>783</v>
      </c>
      <c r="B336" s="143" t="s">
        <v>784</v>
      </c>
      <c r="C336" s="143" t="s">
        <v>784</v>
      </c>
    </row>
    <row r="337" spans="1:3" x14ac:dyDescent="0.25">
      <c r="A337" s="143" t="s">
        <v>785</v>
      </c>
      <c r="B337" s="143" t="s">
        <v>786</v>
      </c>
      <c r="C337" s="143" t="s">
        <v>786</v>
      </c>
    </row>
    <row r="338" spans="1:3" x14ac:dyDescent="0.25">
      <c r="A338" s="143" t="s">
        <v>787</v>
      </c>
      <c r="B338" s="143" t="s">
        <v>788</v>
      </c>
      <c r="C338" s="143" t="s">
        <v>788</v>
      </c>
    </row>
    <row r="339" spans="1:3" x14ac:dyDescent="0.25">
      <c r="A339" s="143" t="s">
        <v>789</v>
      </c>
      <c r="B339" s="143" t="s">
        <v>790</v>
      </c>
      <c r="C339" s="143" t="s">
        <v>790</v>
      </c>
    </row>
    <row r="340" spans="1:3" x14ac:dyDescent="0.25">
      <c r="A340" s="143" t="s">
        <v>791</v>
      </c>
      <c r="B340" s="143" t="s">
        <v>792</v>
      </c>
      <c r="C340" s="143" t="s">
        <v>792</v>
      </c>
    </row>
    <row r="341" spans="1:3" x14ac:dyDescent="0.25">
      <c r="A341" s="143" t="s">
        <v>793</v>
      </c>
      <c r="B341" s="143" t="s">
        <v>794</v>
      </c>
      <c r="C341" s="143" t="s">
        <v>795</v>
      </c>
    </row>
    <row r="342" spans="1:3" x14ac:dyDescent="0.25">
      <c r="A342" s="143" t="s">
        <v>796</v>
      </c>
      <c r="B342" s="143" t="s">
        <v>797</v>
      </c>
      <c r="C342" s="143" t="s">
        <v>798</v>
      </c>
    </row>
    <row r="343" spans="1:3" x14ac:dyDescent="0.25">
      <c r="A343" s="143" t="s">
        <v>799</v>
      </c>
      <c r="B343" s="143" t="s">
        <v>800</v>
      </c>
      <c r="C343" s="143" t="s">
        <v>801</v>
      </c>
    </row>
    <row r="344" spans="1:3" x14ac:dyDescent="0.25">
      <c r="A344" s="143" t="s">
        <v>802</v>
      </c>
      <c r="B344" s="143" t="s">
        <v>803</v>
      </c>
      <c r="C344" s="143" t="s">
        <v>804</v>
      </c>
    </row>
    <row r="345" spans="1:3" x14ac:dyDescent="0.25">
      <c r="A345" s="143" t="s">
        <v>805</v>
      </c>
      <c r="B345" s="143" t="s">
        <v>806</v>
      </c>
      <c r="C345" s="143" t="s">
        <v>807</v>
      </c>
    </row>
    <row r="346" spans="1:3" x14ac:dyDescent="0.25">
      <c r="A346" s="143" t="s">
        <v>808</v>
      </c>
      <c r="B346" s="143" t="s">
        <v>809</v>
      </c>
      <c r="C346" s="143" t="s">
        <v>810</v>
      </c>
    </row>
    <row r="347" spans="1:3" x14ac:dyDescent="0.25">
      <c r="A347" s="143" t="s">
        <v>811</v>
      </c>
      <c r="B347" s="143" t="s">
        <v>812</v>
      </c>
      <c r="C347" s="143" t="s">
        <v>813</v>
      </c>
    </row>
    <row r="348" spans="1:3" x14ac:dyDescent="0.25">
      <c r="A348" s="143" t="s">
        <v>814</v>
      </c>
      <c r="B348" s="143" t="s">
        <v>815</v>
      </c>
      <c r="C348" s="143" t="s">
        <v>816</v>
      </c>
    </row>
    <row r="349" spans="1:3" x14ac:dyDescent="0.25">
      <c r="A349" s="143" t="s">
        <v>817</v>
      </c>
      <c r="B349" s="143" t="s">
        <v>818</v>
      </c>
      <c r="C349" s="143" t="s">
        <v>819</v>
      </c>
    </row>
    <row r="350" spans="1:3" x14ac:dyDescent="0.25">
      <c r="A350" s="143" t="s">
        <v>820</v>
      </c>
      <c r="B350" s="143" t="s">
        <v>821</v>
      </c>
      <c r="C350" s="143" t="s">
        <v>822</v>
      </c>
    </row>
    <row r="351" spans="1:3" x14ac:dyDescent="0.25">
      <c r="A351" s="143" t="s">
        <v>823</v>
      </c>
      <c r="B351" s="143" t="s">
        <v>824</v>
      </c>
      <c r="C351" s="143" t="s">
        <v>825</v>
      </c>
    </row>
    <row r="352" spans="1:3" x14ac:dyDescent="0.25">
      <c r="A352" s="143" t="s">
        <v>826</v>
      </c>
      <c r="B352" s="143" t="s">
        <v>827</v>
      </c>
      <c r="C352" s="143" t="s">
        <v>828</v>
      </c>
    </row>
    <row r="353" spans="1:3" x14ac:dyDescent="0.25">
      <c r="A353" s="143" t="s">
        <v>829</v>
      </c>
      <c r="B353" s="143" t="s">
        <v>830</v>
      </c>
      <c r="C353" s="143" t="s">
        <v>831</v>
      </c>
    </row>
    <row r="354" spans="1:3" x14ac:dyDescent="0.25">
      <c r="A354" s="143" t="s">
        <v>832</v>
      </c>
      <c r="B354" s="143" t="s">
        <v>833</v>
      </c>
      <c r="C354" s="143" t="s">
        <v>834</v>
      </c>
    </row>
    <row r="355" spans="1:3" x14ac:dyDescent="0.25">
      <c r="A355" s="143" t="s">
        <v>835</v>
      </c>
      <c r="B355" s="143" t="s">
        <v>836</v>
      </c>
      <c r="C355" s="143" t="s">
        <v>837</v>
      </c>
    </row>
    <row r="356" spans="1:3" x14ac:dyDescent="0.25">
      <c r="A356" s="143" t="s">
        <v>838</v>
      </c>
      <c r="B356" s="143" t="s">
        <v>794</v>
      </c>
      <c r="C356" s="143" t="s">
        <v>795</v>
      </c>
    </row>
    <row r="357" spans="1:3" x14ac:dyDescent="0.25">
      <c r="A357" s="143" t="s">
        <v>839</v>
      </c>
      <c r="B357" s="143" t="s">
        <v>125</v>
      </c>
      <c r="C357" s="143" t="s">
        <v>126</v>
      </c>
    </row>
    <row r="358" spans="1:3" x14ac:dyDescent="0.25">
      <c r="A358" s="143" t="s">
        <v>840</v>
      </c>
      <c r="B358" s="143" t="s">
        <v>841</v>
      </c>
      <c r="C358" s="143" t="s">
        <v>842</v>
      </c>
    </row>
    <row r="359" spans="1:3" x14ac:dyDescent="0.25">
      <c r="A359" s="143" t="s">
        <v>843</v>
      </c>
      <c r="B359" s="143" t="s">
        <v>844</v>
      </c>
      <c r="C359" s="143" t="s">
        <v>845</v>
      </c>
    </row>
    <row r="360" spans="1:3" x14ac:dyDescent="0.25">
      <c r="A360" s="143" t="s">
        <v>846</v>
      </c>
      <c r="B360" s="143" t="s">
        <v>125</v>
      </c>
      <c r="C360" s="143" t="s">
        <v>126</v>
      </c>
    </row>
    <row r="361" spans="1:3" x14ac:dyDescent="0.25">
      <c r="A361" s="143" t="s">
        <v>847</v>
      </c>
      <c r="B361" s="143" t="s">
        <v>794</v>
      </c>
      <c r="C361" s="143" t="s">
        <v>795</v>
      </c>
    </row>
    <row r="362" spans="1:3" x14ac:dyDescent="0.25">
      <c r="A362" s="143" t="s">
        <v>848</v>
      </c>
      <c r="B362" s="143" t="s">
        <v>128</v>
      </c>
      <c r="C362" s="143" t="s">
        <v>129</v>
      </c>
    </row>
    <row r="363" spans="1:3" x14ac:dyDescent="0.25">
      <c r="A363" s="143" t="s">
        <v>849</v>
      </c>
      <c r="B363" s="143" t="s">
        <v>850</v>
      </c>
      <c r="C363" s="143" t="s">
        <v>851</v>
      </c>
    </row>
    <row r="364" spans="1:3" x14ac:dyDescent="0.25">
      <c r="A364" s="143" t="s">
        <v>852</v>
      </c>
      <c r="B364" s="143" t="s">
        <v>278</v>
      </c>
      <c r="C364" s="143" t="s">
        <v>279</v>
      </c>
    </row>
    <row r="365" spans="1:3" x14ac:dyDescent="0.25">
      <c r="A365" s="143" t="s">
        <v>853</v>
      </c>
      <c r="B365" s="143" t="s">
        <v>854</v>
      </c>
      <c r="C365" s="143" t="s">
        <v>855</v>
      </c>
    </row>
    <row r="366" spans="1:3" x14ac:dyDescent="0.25">
      <c r="A366" s="143" t="s">
        <v>74</v>
      </c>
      <c r="B366" s="143" t="s">
        <v>794</v>
      </c>
      <c r="C366" s="143" t="s">
        <v>795</v>
      </c>
    </row>
    <row r="367" spans="1:3" x14ac:dyDescent="0.25">
      <c r="A367" s="143" t="s">
        <v>856</v>
      </c>
      <c r="B367" s="143" t="s">
        <v>857</v>
      </c>
      <c r="C367" s="143" t="s">
        <v>858</v>
      </c>
    </row>
    <row r="368" spans="1:3" x14ac:dyDescent="0.25">
      <c r="A368" s="143" t="s">
        <v>859</v>
      </c>
      <c r="B368" s="143" t="s">
        <v>860</v>
      </c>
      <c r="C368" s="143" t="s">
        <v>861</v>
      </c>
    </row>
    <row r="369" spans="1:3" x14ac:dyDescent="0.25">
      <c r="A369" s="143" t="s">
        <v>862</v>
      </c>
      <c r="B369" s="143" t="s">
        <v>863</v>
      </c>
      <c r="C369" s="143" t="s">
        <v>864</v>
      </c>
    </row>
    <row r="370" spans="1:3" x14ac:dyDescent="0.25">
      <c r="A370" s="143" t="s">
        <v>865</v>
      </c>
      <c r="B370" s="143" t="s">
        <v>866</v>
      </c>
      <c r="C370" s="143" t="s">
        <v>867</v>
      </c>
    </row>
    <row r="371" spans="1:3" x14ac:dyDescent="0.25">
      <c r="A371" s="143" t="s">
        <v>868</v>
      </c>
      <c r="B371" s="143" t="s">
        <v>290</v>
      </c>
      <c r="C371" s="143" t="s">
        <v>291</v>
      </c>
    </row>
    <row r="372" spans="1:3" x14ac:dyDescent="0.25">
      <c r="A372" s="143" t="s">
        <v>869</v>
      </c>
      <c r="B372" s="143" t="s">
        <v>870</v>
      </c>
      <c r="C372" s="143" t="s">
        <v>871</v>
      </c>
    </row>
    <row r="373" spans="1:3" x14ac:dyDescent="0.25">
      <c r="A373" s="143" t="s">
        <v>872</v>
      </c>
      <c r="B373" s="143" t="s">
        <v>873</v>
      </c>
      <c r="C373" s="143" t="s">
        <v>874</v>
      </c>
    </row>
    <row r="374" spans="1:3" x14ac:dyDescent="0.25">
      <c r="A374" s="143" t="s">
        <v>875</v>
      </c>
      <c r="B374" s="143" t="s">
        <v>792</v>
      </c>
      <c r="C374" s="143" t="s">
        <v>792</v>
      </c>
    </row>
    <row r="375" spans="1:3" x14ac:dyDescent="0.25">
      <c r="A375" s="143" t="s">
        <v>876</v>
      </c>
      <c r="B375" s="143" t="s">
        <v>877</v>
      </c>
      <c r="C375" s="143" t="s">
        <v>878</v>
      </c>
    </row>
    <row r="376" spans="1:3" x14ac:dyDescent="0.25">
      <c r="A376" s="143" t="s">
        <v>879</v>
      </c>
      <c r="B376" s="143" t="s">
        <v>880</v>
      </c>
      <c r="C376" s="143" t="s">
        <v>881</v>
      </c>
    </row>
    <row r="377" spans="1:3" x14ac:dyDescent="0.25">
      <c r="A377" s="143" t="s">
        <v>882</v>
      </c>
      <c r="B377" s="143" t="s">
        <v>883</v>
      </c>
      <c r="C377" s="143" t="s">
        <v>884</v>
      </c>
    </row>
    <row r="378" spans="1:3" x14ac:dyDescent="0.25">
      <c r="A378" s="143" t="s">
        <v>885</v>
      </c>
      <c r="B378" s="143" t="s">
        <v>886</v>
      </c>
      <c r="C378" s="143" t="s">
        <v>887</v>
      </c>
    </row>
    <row r="379" spans="1:3" x14ac:dyDescent="0.25">
      <c r="A379" s="143" t="s">
        <v>888</v>
      </c>
      <c r="B379" s="143" t="s">
        <v>889</v>
      </c>
      <c r="C379" s="143" t="s">
        <v>890</v>
      </c>
    </row>
    <row r="380" spans="1:3" x14ac:dyDescent="0.25">
      <c r="A380" s="143" t="s">
        <v>891</v>
      </c>
      <c r="B380" s="143" t="s">
        <v>892</v>
      </c>
      <c r="C380" s="143" t="s">
        <v>893</v>
      </c>
    </row>
    <row r="381" spans="1:3" x14ac:dyDescent="0.25">
      <c r="A381" s="143" t="s">
        <v>894</v>
      </c>
      <c r="B381" s="143" t="s">
        <v>895</v>
      </c>
      <c r="C381" s="143" t="s">
        <v>896</v>
      </c>
    </row>
    <row r="382" spans="1:3" x14ac:dyDescent="0.25">
      <c r="A382" s="143" t="s">
        <v>897</v>
      </c>
      <c r="B382" s="143" t="s">
        <v>898</v>
      </c>
      <c r="C382" s="143" t="s">
        <v>899</v>
      </c>
    </row>
    <row r="383" spans="1:3" x14ac:dyDescent="0.25">
      <c r="A383" s="143" t="s">
        <v>900</v>
      </c>
      <c r="B383" s="143" t="s">
        <v>901</v>
      </c>
      <c r="C383" s="143" t="s">
        <v>902</v>
      </c>
    </row>
    <row r="384" spans="1:3" x14ac:dyDescent="0.25">
      <c r="A384" s="143" t="s">
        <v>903</v>
      </c>
      <c r="B384" s="143" t="s">
        <v>904</v>
      </c>
      <c r="C384" s="143" t="s">
        <v>905</v>
      </c>
    </row>
    <row r="385" spans="1:3" x14ac:dyDescent="0.25">
      <c r="A385" s="143" t="s">
        <v>906</v>
      </c>
      <c r="B385" s="143" t="s">
        <v>907</v>
      </c>
      <c r="C385" s="143" t="s">
        <v>908</v>
      </c>
    </row>
    <row r="386" spans="1:3" x14ac:dyDescent="0.25">
      <c r="A386" s="143" t="s">
        <v>909</v>
      </c>
      <c r="B386" s="143" t="s">
        <v>910</v>
      </c>
      <c r="C386" s="143" t="s">
        <v>911</v>
      </c>
    </row>
    <row r="387" spans="1:3" x14ac:dyDescent="0.25">
      <c r="A387" s="143" t="s">
        <v>912</v>
      </c>
      <c r="B387" s="143" t="s">
        <v>913</v>
      </c>
      <c r="C387" s="143" t="s">
        <v>914</v>
      </c>
    </row>
    <row r="388" spans="1:3" x14ac:dyDescent="0.25">
      <c r="A388" s="143" t="s">
        <v>915</v>
      </c>
      <c r="B388" s="143" t="s">
        <v>916</v>
      </c>
      <c r="C388" s="143" t="s">
        <v>917</v>
      </c>
    </row>
    <row r="389" spans="1:3" x14ac:dyDescent="0.25">
      <c r="A389" s="143" t="s">
        <v>918</v>
      </c>
      <c r="B389" s="143" t="s">
        <v>919</v>
      </c>
      <c r="C389" s="143" t="s">
        <v>920</v>
      </c>
    </row>
    <row r="390" spans="1:3" x14ac:dyDescent="0.25">
      <c r="A390" s="143" t="s">
        <v>921</v>
      </c>
      <c r="B390" s="143" t="s">
        <v>922</v>
      </c>
      <c r="C390" s="143" t="s">
        <v>923</v>
      </c>
    </row>
    <row r="391" spans="1:3" x14ac:dyDescent="0.25">
      <c r="A391" s="143" t="s">
        <v>924</v>
      </c>
      <c r="B391" s="143" t="s">
        <v>925</v>
      </c>
      <c r="C391" s="143" t="s">
        <v>926</v>
      </c>
    </row>
    <row r="392" spans="1:3" x14ac:dyDescent="0.25">
      <c r="A392" s="143" t="s">
        <v>927</v>
      </c>
      <c r="B392" s="143" t="s">
        <v>919</v>
      </c>
      <c r="C392" s="143" t="s">
        <v>920</v>
      </c>
    </row>
    <row r="393" spans="1:3" x14ac:dyDescent="0.25">
      <c r="A393" s="143" t="s">
        <v>928</v>
      </c>
      <c r="B393" s="143" t="s">
        <v>860</v>
      </c>
      <c r="C393" s="143" t="s">
        <v>861</v>
      </c>
    </row>
    <row r="394" spans="1:3" x14ac:dyDescent="0.25">
      <c r="A394" s="143" t="s">
        <v>929</v>
      </c>
      <c r="B394" s="143" t="s">
        <v>930</v>
      </c>
      <c r="C394" s="143" t="s">
        <v>931</v>
      </c>
    </row>
    <row r="395" spans="1:3" x14ac:dyDescent="0.25">
      <c r="A395" s="143" t="s">
        <v>932</v>
      </c>
      <c r="B395" s="143" t="s">
        <v>933</v>
      </c>
      <c r="C395" s="143" t="s">
        <v>934</v>
      </c>
    </row>
    <row r="396" spans="1:3" x14ac:dyDescent="0.25">
      <c r="A396" s="143" t="s">
        <v>935</v>
      </c>
      <c r="B396" s="143" t="s">
        <v>936</v>
      </c>
      <c r="C396" s="143" t="s">
        <v>937</v>
      </c>
    </row>
    <row r="397" spans="1:3" x14ac:dyDescent="0.25">
      <c r="A397" s="143" t="s">
        <v>938</v>
      </c>
      <c r="B397" s="143" t="s">
        <v>939</v>
      </c>
      <c r="C397" s="143" t="s">
        <v>940</v>
      </c>
    </row>
    <row r="398" spans="1:3" x14ac:dyDescent="0.25">
      <c r="A398" s="143" t="s">
        <v>941</v>
      </c>
      <c r="B398" s="143" t="s">
        <v>942</v>
      </c>
      <c r="C398" s="143" t="s">
        <v>943</v>
      </c>
    </row>
    <row r="399" spans="1:3" x14ac:dyDescent="0.25">
      <c r="A399" s="143" t="s">
        <v>944</v>
      </c>
      <c r="B399" s="143" t="s">
        <v>945</v>
      </c>
      <c r="C399" s="143" t="s">
        <v>946</v>
      </c>
    </row>
    <row r="400" spans="1:3" x14ac:dyDescent="0.25">
      <c r="A400" s="143" t="s">
        <v>947</v>
      </c>
      <c r="B400" s="143" t="s">
        <v>948</v>
      </c>
      <c r="C400" s="143" t="s">
        <v>949</v>
      </c>
    </row>
    <row r="401" spans="1:3" x14ac:dyDescent="0.25">
      <c r="A401" s="143" t="s">
        <v>950</v>
      </c>
      <c r="B401" s="143" t="s">
        <v>951</v>
      </c>
      <c r="C401" s="143" t="s">
        <v>952</v>
      </c>
    </row>
    <row r="402" spans="1:3" x14ac:dyDescent="0.25">
      <c r="A402" s="143" t="s">
        <v>953</v>
      </c>
      <c r="B402" s="143" t="s">
        <v>954</v>
      </c>
      <c r="C402" s="143" t="s">
        <v>955</v>
      </c>
    </row>
    <row r="403" spans="1:3" x14ac:dyDescent="0.25">
      <c r="A403" s="143" t="s">
        <v>956</v>
      </c>
      <c r="B403" s="143" t="s">
        <v>957</v>
      </c>
      <c r="C403" s="143" t="s">
        <v>958</v>
      </c>
    </row>
    <row r="404" spans="1:3" x14ac:dyDescent="0.25">
      <c r="A404" s="143" t="s">
        <v>959</v>
      </c>
      <c r="B404" s="143" t="s">
        <v>960</v>
      </c>
      <c r="C404" s="143" t="s">
        <v>961</v>
      </c>
    </row>
    <row r="405" spans="1:3" x14ac:dyDescent="0.25">
      <c r="A405" s="143" t="s">
        <v>962</v>
      </c>
      <c r="B405" s="143" t="s">
        <v>177</v>
      </c>
      <c r="C405" s="143" t="s">
        <v>178</v>
      </c>
    </row>
    <row r="406" spans="1:3" x14ac:dyDescent="0.25">
      <c r="A406" s="143" t="s">
        <v>963</v>
      </c>
      <c r="B406" s="143" t="s">
        <v>964</v>
      </c>
      <c r="C406" s="143" t="s">
        <v>965</v>
      </c>
    </row>
    <row r="407" spans="1:3" x14ac:dyDescent="0.25">
      <c r="A407" s="143" t="s">
        <v>966</v>
      </c>
      <c r="B407" s="143" t="s">
        <v>967</v>
      </c>
      <c r="C407" s="143" t="s">
        <v>968</v>
      </c>
    </row>
    <row r="408" spans="1:3" x14ac:dyDescent="0.25">
      <c r="A408" s="143" t="s">
        <v>969</v>
      </c>
      <c r="B408" s="143" t="s">
        <v>970</v>
      </c>
      <c r="C408" s="143" t="s">
        <v>971</v>
      </c>
    </row>
    <row r="409" spans="1:3" x14ac:dyDescent="0.25">
      <c r="A409" s="143" t="s">
        <v>972</v>
      </c>
      <c r="B409" s="143" t="s">
        <v>973</v>
      </c>
      <c r="C409" s="143" t="s">
        <v>974</v>
      </c>
    </row>
    <row r="410" spans="1:3" x14ac:dyDescent="0.25">
      <c r="A410" s="143" t="s">
        <v>975</v>
      </c>
      <c r="B410" s="143" t="s">
        <v>976</v>
      </c>
      <c r="C410" s="143" t="s">
        <v>977</v>
      </c>
    </row>
    <row r="411" spans="1:3" x14ac:dyDescent="0.25">
      <c r="A411" s="143" t="s">
        <v>978</v>
      </c>
      <c r="B411" s="143" t="s">
        <v>979</v>
      </c>
      <c r="C411" s="143" t="s">
        <v>980</v>
      </c>
    </row>
    <row r="412" spans="1:3" x14ac:dyDescent="0.25">
      <c r="A412" s="143" t="s">
        <v>981</v>
      </c>
      <c r="B412" s="143" t="s">
        <v>982</v>
      </c>
      <c r="C412" s="143" t="s">
        <v>983</v>
      </c>
    </row>
    <row r="413" spans="1:3" x14ac:dyDescent="0.25">
      <c r="A413" s="143" t="s">
        <v>984</v>
      </c>
      <c r="B413" s="143" t="s">
        <v>985</v>
      </c>
      <c r="C413" s="143" t="s">
        <v>986</v>
      </c>
    </row>
    <row r="414" spans="1:3" x14ac:dyDescent="0.25">
      <c r="A414" s="143" t="s">
        <v>987</v>
      </c>
      <c r="B414" s="143" t="s">
        <v>988</v>
      </c>
      <c r="C414" s="143" t="s">
        <v>989</v>
      </c>
    </row>
    <row r="415" spans="1:3" x14ac:dyDescent="0.25">
      <c r="A415" s="143" t="s">
        <v>990</v>
      </c>
      <c r="B415" s="143" t="s">
        <v>991</v>
      </c>
      <c r="C415" s="143" t="s">
        <v>992</v>
      </c>
    </row>
    <row r="416" spans="1:3" x14ac:dyDescent="0.25">
      <c r="A416" s="143" t="s">
        <v>993</v>
      </c>
      <c r="B416" s="143" t="s">
        <v>994</v>
      </c>
      <c r="C416" s="143" t="s">
        <v>995</v>
      </c>
    </row>
    <row r="417" spans="1:3" x14ac:dyDescent="0.25">
      <c r="A417" s="143" t="s">
        <v>996</v>
      </c>
      <c r="B417" s="143" t="s">
        <v>997</v>
      </c>
      <c r="C417" s="143" t="s">
        <v>998</v>
      </c>
    </row>
    <row r="418" spans="1:3" x14ac:dyDescent="0.25">
      <c r="A418" s="143" t="s">
        <v>999</v>
      </c>
      <c r="B418" s="143" t="s">
        <v>1000</v>
      </c>
      <c r="C418" s="143" t="s">
        <v>1001</v>
      </c>
    </row>
    <row r="419" spans="1:3" x14ac:dyDescent="0.25">
      <c r="A419" s="143" t="s">
        <v>1002</v>
      </c>
      <c r="B419" s="143" t="s">
        <v>1003</v>
      </c>
      <c r="C419" s="143" t="s">
        <v>1004</v>
      </c>
    </row>
    <row r="420" spans="1:3" x14ac:dyDescent="0.25">
      <c r="A420" s="143" t="s">
        <v>1005</v>
      </c>
      <c r="B420" s="143" t="s">
        <v>565</v>
      </c>
      <c r="C420" s="143" t="s">
        <v>566</v>
      </c>
    </row>
    <row r="421" spans="1:3" x14ac:dyDescent="0.25">
      <c r="A421" s="143" t="s">
        <v>1006</v>
      </c>
      <c r="B421" s="143" t="s">
        <v>1007</v>
      </c>
      <c r="C421" s="143" t="s">
        <v>1008</v>
      </c>
    </row>
    <row r="422" spans="1:3" x14ac:dyDescent="0.25">
      <c r="A422" s="143" t="s">
        <v>1009</v>
      </c>
      <c r="B422" s="143" t="s">
        <v>505</v>
      </c>
      <c r="C422" s="143" t="s">
        <v>506</v>
      </c>
    </row>
    <row r="423" spans="1:3" x14ac:dyDescent="0.25">
      <c r="A423" s="143" t="s">
        <v>1010</v>
      </c>
      <c r="B423" s="143" t="s">
        <v>1011</v>
      </c>
      <c r="C423" s="143" t="s">
        <v>1012</v>
      </c>
    </row>
    <row r="424" spans="1:3" x14ac:dyDescent="0.25">
      <c r="A424" s="143" t="s">
        <v>1013</v>
      </c>
      <c r="B424" s="143" t="s">
        <v>1014</v>
      </c>
      <c r="C424" s="143" t="s">
        <v>1015</v>
      </c>
    </row>
    <row r="425" spans="1:3" x14ac:dyDescent="0.25">
      <c r="A425" s="143" t="s">
        <v>1016</v>
      </c>
      <c r="B425" s="143" t="s">
        <v>1017</v>
      </c>
      <c r="C425" s="143" t="s">
        <v>1018</v>
      </c>
    </row>
    <row r="426" spans="1:3" x14ac:dyDescent="0.25">
      <c r="A426" s="143" t="s">
        <v>1019</v>
      </c>
      <c r="B426" s="143" t="s">
        <v>1020</v>
      </c>
      <c r="C426" s="143" t="s">
        <v>1021</v>
      </c>
    </row>
    <row r="427" spans="1:3" x14ac:dyDescent="0.25">
      <c r="A427" s="143" t="s">
        <v>1022</v>
      </c>
      <c r="B427" s="143" t="s">
        <v>1023</v>
      </c>
      <c r="C427" s="143" t="s">
        <v>1024</v>
      </c>
    </row>
    <row r="428" spans="1:3" x14ac:dyDescent="0.25">
      <c r="A428" s="143" t="s">
        <v>1025</v>
      </c>
      <c r="B428" s="143" t="s">
        <v>844</v>
      </c>
      <c r="C428" s="143" t="s">
        <v>845</v>
      </c>
    </row>
    <row r="429" spans="1:3" x14ac:dyDescent="0.25">
      <c r="A429" s="143" t="s">
        <v>1026</v>
      </c>
      <c r="B429" s="143" t="s">
        <v>1027</v>
      </c>
      <c r="C429" s="143" t="s">
        <v>1028</v>
      </c>
    </row>
    <row r="430" spans="1:3" x14ac:dyDescent="0.25">
      <c r="A430" s="143" t="s">
        <v>1029</v>
      </c>
      <c r="B430" s="143" t="s">
        <v>1030</v>
      </c>
      <c r="C430" s="143" t="s">
        <v>1031</v>
      </c>
    </row>
    <row r="431" spans="1:3" x14ac:dyDescent="0.25">
      <c r="A431" s="143" t="s">
        <v>1032</v>
      </c>
      <c r="B431" s="143" t="s">
        <v>1033</v>
      </c>
      <c r="C431" s="143" t="s">
        <v>1034</v>
      </c>
    </row>
    <row r="432" spans="1:3" x14ac:dyDescent="0.25">
      <c r="A432" s="143" t="s">
        <v>1035</v>
      </c>
      <c r="B432" s="143" t="s">
        <v>1036</v>
      </c>
      <c r="C432" s="143" t="s">
        <v>1037</v>
      </c>
    </row>
    <row r="433" spans="1:3" x14ac:dyDescent="0.25">
      <c r="A433" s="143" t="s">
        <v>1038</v>
      </c>
      <c r="B433" s="143" t="s">
        <v>1039</v>
      </c>
      <c r="C433" s="143" t="s">
        <v>1040</v>
      </c>
    </row>
    <row r="434" spans="1:3" x14ac:dyDescent="0.25">
      <c r="A434" s="143" t="s">
        <v>1041</v>
      </c>
      <c r="B434" s="143" t="s">
        <v>1042</v>
      </c>
      <c r="C434" s="143" t="s">
        <v>1043</v>
      </c>
    </row>
    <row r="435" spans="1:3" x14ac:dyDescent="0.25">
      <c r="A435" s="143" t="s">
        <v>1044</v>
      </c>
      <c r="B435" s="143" t="s">
        <v>1045</v>
      </c>
      <c r="C435" s="143" t="s">
        <v>1046</v>
      </c>
    </row>
    <row r="436" spans="1:3" x14ac:dyDescent="0.25">
      <c r="A436" s="143" t="s">
        <v>1047</v>
      </c>
      <c r="B436" s="143" t="s">
        <v>1048</v>
      </c>
      <c r="C436" s="143" t="s">
        <v>1049</v>
      </c>
    </row>
    <row r="437" spans="1:3" x14ac:dyDescent="0.25">
      <c r="A437" s="143" t="s">
        <v>1050</v>
      </c>
      <c r="B437" s="143" t="s">
        <v>1051</v>
      </c>
      <c r="C437" s="143" t="s">
        <v>1052</v>
      </c>
    </row>
    <row r="438" spans="1:3" x14ac:dyDescent="0.25">
      <c r="A438" s="143" t="s">
        <v>1053</v>
      </c>
      <c r="B438" s="143" t="s">
        <v>1054</v>
      </c>
      <c r="C438" s="143" t="s">
        <v>1055</v>
      </c>
    </row>
    <row r="439" spans="1:3" x14ac:dyDescent="0.25">
      <c r="A439" s="143" t="s">
        <v>1056</v>
      </c>
      <c r="B439" s="143" t="s">
        <v>1057</v>
      </c>
      <c r="C439" s="143" t="s">
        <v>1058</v>
      </c>
    </row>
    <row r="440" spans="1:3" x14ac:dyDescent="0.25">
      <c r="A440" s="143" t="s">
        <v>1059</v>
      </c>
      <c r="B440" s="143" t="s">
        <v>1060</v>
      </c>
      <c r="C440" s="143" t="s">
        <v>1061</v>
      </c>
    </row>
    <row r="441" spans="1:3" x14ac:dyDescent="0.25">
      <c r="A441" s="143" t="s">
        <v>1062</v>
      </c>
      <c r="B441" s="143" t="s">
        <v>1063</v>
      </c>
      <c r="C441" s="143" t="s">
        <v>1064</v>
      </c>
    </row>
    <row r="442" spans="1:3" x14ac:dyDescent="0.25">
      <c r="A442" s="143" t="s">
        <v>1065</v>
      </c>
      <c r="B442" s="143" t="s">
        <v>169</v>
      </c>
      <c r="C442" s="143" t="s">
        <v>169</v>
      </c>
    </row>
    <row r="443" spans="1:3" x14ac:dyDescent="0.25">
      <c r="A443" s="143" t="s">
        <v>1066</v>
      </c>
      <c r="B443" s="143" t="s">
        <v>1067</v>
      </c>
      <c r="C443" s="143" t="s">
        <v>1068</v>
      </c>
    </row>
    <row r="444" spans="1:3" x14ac:dyDescent="0.25">
      <c r="A444" s="143" t="s">
        <v>1069</v>
      </c>
      <c r="B444" s="143" t="s">
        <v>1070</v>
      </c>
      <c r="C444" s="143" t="s">
        <v>1071</v>
      </c>
    </row>
    <row r="445" spans="1:3" x14ac:dyDescent="0.25">
      <c r="A445" s="143" t="s">
        <v>1072</v>
      </c>
      <c r="B445" s="143" t="s">
        <v>1073</v>
      </c>
      <c r="C445" s="143" t="s">
        <v>1074</v>
      </c>
    </row>
    <row r="446" spans="1:3" x14ac:dyDescent="0.25">
      <c r="A446" s="143" t="s">
        <v>1075</v>
      </c>
      <c r="B446" s="143" t="s">
        <v>1076</v>
      </c>
      <c r="C446" s="143" t="s">
        <v>1077</v>
      </c>
    </row>
    <row r="447" spans="1:3" x14ac:dyDescent="0.25">
      <c r="A447" s="143" t="s">
        <v>1078</v>
      </c>
      <c r="B447" s="143" t="s">
        <v>1079</v>
      </c>
      <c r="C447" s="143" t="s">
        <v>1080</v>
      </c>
    </row>
    <row r="448" spans="1:3" x14ac:dyDescent="0.25">
      <c r="A448" s="143" t="s">
        <v>1081</v>
      </c>
      <c r="B448" s="143" t="s">
        <v>1082</v>
      </c>
      <c r="C448" s="143" t="s">
        <v>1083</v>
      </c>
    </row>
    <row r="449" spans="1:3" x14ac:dyDescent="0.25">
      <c r="A449" s="143" t="s">
        <v>1084</v>
      </c>
      <c r="B449" s="143" t="s">
        <v>1085</v>
      </c>
      <c r="C449" s="143" t="s">
        <v>1086</v>
      </c>
    </row>
    <row r="450" spans="1:3" x14ac:dyDescent="0.25">
      <c r="A450" s="143" t="s">
        <v>1087</v>
      </c>
      <c r="B450" s="143" t="s">
        <v>1088</v>
      </c>
      <c r="C450" s="143" t="s">
        <v>1089</v>
      </c>
    </row>
    <row r="451" spans="1:3" x14ac:dyDescent="0.25">
      <c r="A451" s="143" t="s">
        <v>1090</v>
      </c>
      <c r="B451" s="143" t="s">
        <v>1091</v>
      </c>
      <c r="C451" s="143" t="s">
        <v>1092</v>
      </c>
    </row>
    <row r="452" spans="1:3" x14ac:dyDescent="0.25">
      <c r="A452" s="143" t="s">
        <v>1093</v>
      </c>
      <c r="B452" s="143" t="s">
        <v>1094</v>
      </c>
      <c r="C452" s="143" t="s">
        <v>1095</v>
      </c>
    </row>
    <row r="453" spans="1:3" x14ac:dyDescent="0.25">
      <c r="A453" s="143" t="s">
        <v>1096</v>
      </c>
      <c r="B453" s="143" t="s">
        <v>1097</v>
      </c>
      <c r="C453" s="143" t="s">
        <v>1098</v>
      </c>
    </row>
    <row r="454" spans="1:3" x14ac:dyDescent="0.25">
      <c r="A454" s="143" t="s">
        <v>1099</v>
      </c>
      <c r="B454" s="143" t="s">
        <v>1100</v>
      </c>
      <c r="C454" s="143" t="s">
        <v>1101</v>
      </c>
    </row>
    <row r="455" spans="1:3" x14ac:dyDescent="0.25">
      <c r="A455" s="143" t="s">
        <v>1102</v>
      </c>
      <c r="B455" s="143" t="s">
        <v>1103</v>
      </c>
      <c r="C455" s="143" t="s">
        <v>1104</v>
      </c>
    </row>
    <row r="456" spans="1:3" x14ac:dyDescent="0.25">
      <c r="A456" s="143" t="s">
        <v>1105</v>
      </c>
      <c r="B456" s="143" t="s">
        <v>794</v>
      </c>
      <c r="C456" s="143" t="s">
        <v>795</v>
      </c>
    </row>
    <row r="457" spans="1:3" x14ac:dyDescent="0.25">
      <c r="A457" s="143" t="s">
        <v>1106</v>
      </c>
      <c r="B457" s="143" t="s">
        <v>1107</v>
      </c>
      <c r="C457" s="143" t="s">
        <v>1108</v>
      </c>
    </row>
    <row r="458" spans="1:3" x14ac:dyDescent="0.25">
      <c r="A458" s="143" t="s">
        <v>1109</v>
      </c>
      <c r="B458" s="143" t="s">
        <v>1110</v>
      </c>
      <c r="C458" s="143" t="s">
        <v>1111</v>
      </c>
    </row>
    <row r="459" spans="1:3" x14ac:dyDescent="0.25">
      <c r="A459" s="143" t="s">
        <v>1112</v>
      </c>
      <c r="B459" s="143" t="s">
        <v>1113</v>
      </c>
      <c r="C459" s="143" t="s">
        <v>1114</v>
      </c>
    </row>
    <row r="460" spans="1:3" x14ac:dyDescent="0.25">
      <c r="A460" s="143" t="s">
        <v>1115</v>
      </c>
      <c r="B460" s="143" t="s">
        <v>1116</v>
      </c>
      <c r="C460" s="143" t="s">
        <v>1117</v>
      </c>
    </row>
    <row r="461" spans="1:3" x14ac:dyDescent="0.25">
      <c r="A461" s="143" t="s">
        <v>1118</v>
      </c>
      <c r="B461" s="143" t="s">
        <v>1119</v>
      </c>
      <c r="C461" s="143" t="s">
        <v>1120</v>
      </c>
    </row>
    <row r="462" spans="1:3" x14ac:dyDescent="0.25">
      <c r="A462" s="143" t="s">
        <v>1121</v>
      </c>
      <c r="B462" s="143" t="s">
        <v>1122</v>
      </c>
      <c r="C462" s="143" t="s">
        <v>1123</v>
      </c>
    </row>
    <row r="463" spans="1:3" x14ac:dyDescent="0.25">
      <c r="A463" s="143" t="s">
        <v>1124</v>
      </c>
      <c r="B463" s="143" t="s">
        <v>1125</v>
      </c>
      <c r="C463" s="143" t="s">
        <v>1126</v>
      </c>
    </row>
    <row r="464" spans="1:3" x14ac:dyDescent="0.25">
      <c r="A464" s="143" t="s">
        <v>1127</v>
      </c>
      <c r="B464" s="143" t="s">
        <v>1128</v>
      </c>
      <c r="C464" s="143" t="s">
        <v>1129</v>
      </c>
    </row>
    <row r="465" spans="1:3" x14ac:dyDescent="0.25">
      <c r="A465" s="143" t="s">
        <v>1130</v>
      </c>
      <c r="B465" s="143" t="s">
        <v>1131</v>
      </c>
      <c r="C465" s="143" t="s">
        <v>1132</v>
      </c>
    </row>
    <row r="466" spans="1:3" x14ac:dyDescent="0.25">
      <c r="A466" s="143" t="s">
        <v>1133</v>
      </c>
      <c r="B466" s="143" t="s">
        <v>1134</v>
      </c>
      <c r="C466" s="143" t="s">
        <v>1135</v>
      </c>
    </row>
    <row r="467" spans="1:3" x14ac:dyDescent="0.25">
      <c r="A467" s="143" t="s">
        <v>1136</v>
      </c>
      <c r="B467" s="143" t="s">
        <v>960</v>
      </c>
      <c r="C467" s="143" t="s">
        <v>961</v>
      </c>
    </row>
    <row r="468" spans="1:3" x14ac:dyDescent="0.25">
      <c r="A468" s="143" t="s">
        <v>1137</v>
      </c>
      <c r="B468" s="143" t="s">
        <v>1138</v>
      </c>
      <c r="C468" s="143" t="s">
        <v>1139</v>
      </c>
    </row>
    <row r="469" spans="1:3" x14ac:dyDescent="0.25">
      <c r="A469" s="143" t="s">
        <v>1140</v>
      </c>
      <c r="B469" s="143" t="s">
        <v>1141</v>
      </c>
      <c r="C469" s="143" t="s">
        <v>1142</v>
      </c>
    </row>
    <row r="470" spans="1:3" x14ac:dyDescent="0.25">
      <c r="A470" s="143" t="s">
        <v>1143</v>
      </c>
      <c r="B470" s="143" t="s">
        <v>1144</v>
      </c>
      <c r="C470" s="143" t="s">
        <v>1145</v>
      </c>
    </row>
    <row r="471" spans="1:3" x14ac:dyDescent="0.25">
      <c r="A471" s="143" t="s">
        <v>1146</v>
      </c>
      <c r="B471" s="143" t="s">
        <v>1147</v>
      </c>
      <c r="C471" s="143" t="s">
        <v>1148</v>
      </c>
    </row>
    <row r="472" spans="1:3" x14ac:dyDescent="0.25">
      <c r="A472" s="143" t="s">
        <v>1149</v>
      </c>
      <c r="B472" s="143" t="s">
        <v>1150</v>
      </c>
      <c r="C472" s="143" t="s">
        <v>1151</v>
      </c>
    </row>
    <row r="473" spans="1:3" x14ac:dyDescent="0.25">
      <c r="A473" s="143" t="s">
        <v>1152</v>
      </c>
      <c r="B473" s="143" t="s">
        <v>803</v>
      </c>
      <c r="C473" s="143" t="s">
        <v>804</v>
      </c>
    </row>
    <row r="474" spans="1:3" x14ac:dyDescent="0.25">
      <c r="A474" s="143" t="s">
        <v>1153</v>
      </c>
      <c r="B474" s="143" t="s">
        <v>1154</v>
      </c>
      <c r="C474" s="143" t="s">
        <v>1155</v>
      </c>
    </row>
    <row r="475" spans="1:3" x14ac:dyDescent="0.25">
      <c r="A475" s="143" t="s">
        <v>1156</v>
      </c>
      <c r="B475" s="143" t="s">
        <v>1157</v>
      </c>
      <c r="C475" s="143" t="s">
        <v>1158</v>
      </c>
    </row>
    <row r="476" spans="1:3" x14ac:dyDescent="0.25">
      <c r="A476" s="143" t="s">
        <v>1159</v>
      </c>
      <c r="B476" s="143" t="s">
        <v>1160</v>
      </c>
      <c r="C476" s="143" t="s">
        <v>1161</v>
      </c>
    </row>
    <row r="477" spans="1:3" x14ac:dyDescent="0.25">
      <c r="A477" s="143" t="s">
        <v>1162</v>
      </c>
      <c r="B477" s="143" t="s">
        <v>1163</v>
      </c>
      <c r="C477" s="143" t="s">
        <v>1164</v>
      </c>
    </row>
    <row r="478" spans="1:3" x14ac:dyDescent="0.25">
      <c r="A478" s="143" t="s">
        <v>1165</v>
      </c>
      <c r="B478" s="143" t="s">
        <v>1166</v>
      </c>
      <c r="C478" s="143" t="s">
        <v>1167</v>
      </c>
    </row>
    <row r="479" spans="1:3" x14ac:dyDescent="0.25">
      <c r="A479" s="143" t="s">
        <v>1168</v>
      </c>
      <c r="B479" s="143" t="s">
        <v>1169</v>
      </c>
      <c r="C479" s="143" t="s">
        <v>1170</v>
      </c>
    </row>
    <row r="480" spans="1:3" x14ac:dyDescent="0.25">
      <c r="A480" s="143" t="s">
        <v>1171</v>
      </c>
      <c r="B480" s="143" t="s">
        <v>1172</v>
      </c>
      <c r="C480" s="143" t="s">
        <v>1173</v>
      </c>
    </row>
    <row r="481" spans="1:3" x14ac:dyDescent="0.25">
      <c r="A481" s="143" t="s">
        <v>1174</v>
      </c>
      <c r="B481" s="143" t="s">
        <v>1175</v>
      </c>
      <c r="C481" s="143" t="s">
        <v>1176</v>
      </c>
    </row>
    <row r="482" spans="1:3" x14ac:dyDescent="0.25">
      <c r="A482" s="143" t="s">
        <v>1177</v>
      </c>
      <c r="B482" s="143" t="s">
        <v>1178</v>
      </c>
      <c r="C482" s="143" t="s">
        <v>1179</v>
      </c>
    </row>
    <row r="483" spans="1:3" x14ac:dyDescent="0.25">
      <c r="A483" s="143" t="s">
        <v>1180</v>
      </c>
      <c r="B483" s="143" t="s">
        <v>1181</v>
      </c>
      <c r="C483" s="143" t="s">
        <v>1182</v>
      </c>
    </row>
    <row r="484" spans="1:3" x14ac:dyDescent="0.25">
      <c r="A484" s="143" t="s">
        <v>1183</v>
      </c>
      <c r="B484" s="143" t="s">
        <v>1027</v>
      </c>
      <c r="C484" s="143" t="s">
        <v>1028</v>
      </c>
    </row>
    <row r="485" spans="1:3" x14ac:dyDescent="0.25">
      <c r="A485" s="143" t="s">
        <v>1184</v>
      </c>
      <c r="B485" s="143" t="s">
        <v>1185</v>
      </c>
      <c r="C485" s="143" t="s">
        <v>1186</v>
      </c>
    </row>
    <row r="486" spans="1:3" x14ac:dyDescent="0.25">
      <c r="A486" s="143" t="s">
        <v>1187</v>
      </c>
      <c r="B486" s="143" t="s">
        <v>1188</v>
      </c>
      <c r="C486" s="143" t="s">
        <v>1189</v>
      </c>
    </row>
    <row r="487" spans="1:3" x14ac:dyDescent="0.25">
      <c r="A487" s="143" t="s">
        <v>1190</v>
      </c>
      <c r="B487" s="143" t="s">
        <v>1191</v>
      </c>
      <c r="C487" s="143" t="s">
        <v>1192</v>
      </c>
    </row>
    <row r="488" spans="1:3" x14ac:dyDescent="0.25">
      <c r="A488" s="143" t="s">
        <v>1193</v>
      </c>
      <c r="B488" s="143" t="s">
        <v>1194</v>
      </c>
      <c r="C488" s="143" t="s">
        <v>1195</v>
      </c>
    </row>
    <row r="489" spans="1:3" x14ac:dyDescent="0.25">
      <c r="A489" s="143" t="s">
        <v>1196</v>
      </c>
      <c r="B489" s="143" t="s">
        <v>1197</v>
      </c>
      <c r="C489" s="143" t="s">
        <v>1198</v>
      </c>
    </row>
    <row r="490" spans="1:3" x14ac:dyDescent="0.25">
      <c r="A490" s="143" t="s">
        <v>1199</v>
      </c>
      <c r="B490" s="143" t="s">
        <v>1200</v>
      </c>
      <c r="C490" s="143" t="s">
        <v>1201</v>
      </c>
    </row>
    <row r="491" spans="1:3" x14ac:dyDescent="0.25">
      <c r="A491" s="143" t="s">
        <v>1202</v>
      </c>
      <c r="B491" s="143" t="s">
        <v>1203</v>
      </c>
      <c r="C491" s="143" t="s">
        <v>1204</v>
      </c>
    </row>
    <row r="492" spans="1:3" x14ac:dyDescent="0.25">
      <c r="A492" s="143" t="s">
        <v>1205</v>
      </c>
      <c r="B492" s="143" t="s">
        <v>1206</v>
      </c>
      <c r="C492" s="143" t="s">
        <v>1207</v>
      </c>
    </row>
    <row r="493" spans="1:3" x14ac:dyDescent="0.25">
      <c r="A493" s="143" t="s">
        <v>1208</v>
      </c>
      <c r="B493" s="143" t="s">
        <v>1209</v>
      </c>
      <c r="C493" s="143" t="s">
        <v>1210</v>
      </c>
    </row>
    <row r="494" spans="1:3" x14ac:dyDescent="0.25">
      <c r="A494" s="143" t="s">
        <v>1211</v>
      </c>
      <c r="B494" s="143" t="s">
        <v>1212</v>
      </c>
      <c r="C494" s="143" t="s">
        <v>1213</v>
      </c>
    </row>
    <row r="495" spans="1:3" x14ac:dyDescent="0.25">
      <c r="A495" s="143" t="s">
        <v>1214</v>
      </c>
      <c r="B495" s="143" t="s">
        <v>1215</v>
      </c>
      <c r="C495" s="143" t="s">
        <v>1216</v>
      </c>
    </row>
    <row r="496" spans="1:3" x14ac:dyDescent="0.25">
      <c r="A496" s="143" t="s">
        <v>1217</v>
      </c>
      <c r="B496" s="143" t="s">
        <v>1218</v>
      </c>
      <c r="C496" s="143" t="s">
        <v>1219</v>
      </c>
    </row>
    <row r="497" spans="1:3" x14ac:dyDescent="0.25">
      <c r="A497" s="143" t="s">
        <v>1220</v>
      </c>
      <c r="B497" s="143" t="s">
        <v>1221</v>
      </c>
      <c r="C497" s="143" t="s">
        <v>1222</v>
      </c>
    </row>
    <row r="498" spans="1:3" x14ac:dyDescent="0.25">
      <c r="A498" s="143" t="s">
        <v>1223</v>
      </c>
      <c r="B498" s="143" t="s">
        <v>1224</v>
      </c>
      <c r="C498" s="143" t="s">
        <v>1225</v>
      </c>
    </row>
    <row r="499" spans="1:3" x14ac:dyDescent="0.25">
      <c r="A499" s="143" t="s">
        <v>1226</v>
      </c>
      <c r="B499" s="143" t="s">
        <v>1227</v>
      </c>
      <c r="C499" s="143" t="s">
        <v>1228</v>
      </c>
    </row>
    <row r="500" spans="1:3" x14ac:dyDescent="0.25">
      <c r="A500" s="143" t="s">
        <v>1229</v>
      </c>
      <c r="B500" s="143" t="s">
        <v>1230</v>
      </c>
      <c r="C500" s="143" t="s">
        <v>1231</v>
      </c>
    </row>
    <row r="501" spans="1:3" x14ac:dyDescent="0.25">
      <c r="A501" s="143" t="s">
        <v>1232</v>
      </c>
      <c r="B501" s="143" t="s">
        <v>1233</v>
      </c>
      <c r="C501" s="143" t="s">
        <v>1234</v>
      </c>
    </row>
    <row r="502" spans="1:3" x14ac:dyDescent="0.25">
      <c r="A502" s="143" t="s">
        <v>1235</v>
      </c>
      <c r="B502" s="143" t="s">
        <v>794</v>
      </c>
      <c r="C502" s="143" t="s">
        <v>795</v>
      </c>
    </row>
    <row r="503" spans="1:3" x14ac:dyDescent="0.25">
      <c r="A503" s="143" t="s">
        <v>1236</v>
      </c>
      <c r="B503" s="143" t="s">
        <v>1237</v>
      </c>
      <c r="C503" s="143" t="s">
        <v>1238</v>
      </c>
    </row>
    <row r="504" spans="1:3" x14ac:dyDescent="0.25">
      <c r="A504" s="143" t="s">
        <v>1239</v>
      </c>
      <c r="B504" s="143" t="s">
        <v>1240</v>
      </c>
      <c r="C504" s="143" t="s">
        <v>1241</v>
      </c>
    </row>
    <row r="505" spans="1:3" x14ac:dyDescent="0.25">
      <c r="A505" s="143" t="s">
        <v>1242</v>
      </c>
      <c r="B505" s="143" t="s">
        <v>1243</v>
      </c>
      <c r="C505" s="143" t="s">
        <v>1244</v>
      </c>
    </row>
    <row r="506" spans="1:3" x14ac:dyDescent="0.25">
      <c r="A506" s="143" t="s">
        <v>1245</v>
      </c>
      <c r="B506" s="143" t="s">
        <v>1246</v>
      </c>
      <c r="C506" s="143" t="s">
        <v>1247</v>
      </c>
    </row>
    <row r="507" spans="1:3" x14ac:dyDescent="0.25">
      <c r="A507" s="143" t="s">
        <v>1248</v>
      </c>
      <c r="B507" s="143" t="s">
        <v>1249</v>
      </c>
      <c r="C507" s="143" t="s">
        <v>1250</v>
      </c>
    </row>
    <row r="508" spans="1:3" x14ac:dyDescent="0.25">
      <c r="A508" s="143" t="s">
        <v>1251</v>
      </c>
      <c r="B508" s="143" t="s">
        <v>930</v>
      </c>
      <c r="C508" s="143" t="s">
        <v>931</v>
      </c>
    </row>
    <row r="509" spans="1:3" x14ac:dyDescent="0.25">
      <c r="A509" s="143" t="s">
        <v>1252</v>
      </c>
      <c r="B509" s="143" t="s">
        <v>352</v>
      </c>
      <c r="C509" s="143" t="s">
        <v>352</v>
      </c>
    </row>
    <row r="510" spans="1:3" x14ac:dyDescent="0.25">
      <c r="A510" s="143" t="s">
        <v>1253</v>
      </c>
      <c r="B510" s="143" t="s">
        <v>210</v>
      </c>
      <c r="C510" s="143" t="s">
        <v>210</v>
      </c>
    </row>
    <row r="511" spans="1:3" x14ac:dyDescent="0.25">
      <c r="A511" s="143" t="s">
        <v>1254</v>
      </c>
      <c r="B511" s="143" t="s">
        <v>1255</v>
      </c>
      <c r="C511" s="143" t="s">
        <v>1255</v>
      </c>
    </row>
    <row r="512" spans="1:3" x14ac:dyDescent="0.25">
      <c r="A512" s="143" t="s">
        <v>1256</v>
      </c>
      <c r="B512" s="143" t="s">
        <v>1257</v>
      </c>
      <c r="C512" s="143" t="s">
        <v>1257</v>
      </c>
    </row>
    <row r="513" spans="1:3" x14ac:dyDescent="0.25">
      <c r="A513" s="143" t="s">
        <v>1258</v>
      </c>
      <c r="B513" s="143" t="s">
        <v>221</v>
      </c>
      <c r="C513" s="143" t="s">
        <v>221</v>
      </c>
    </row>
    <row r="514" spans="1:3" x14ac:dyDescent="0.25">
      <c r="A514" s="143" t="s">
        <v>1259</v>
      </c>
      <c r="B514" s="143" t="s">
        <v>115</v>
      </c>
      <c r="C514" s="143" t="s">
        <v>115</v>
      </c>
    </row>
    <row r="515" spans="1:3" x14ac:dyDescent="0.25">
      <c r="A515" s="143" t="s">
        <v>1260</v>
      </c>
      <c r="B515" s="143" t="s">
        <v>1261</v>
      </c>
      <c r="C515" s="143" t="s">
        <v>1261</v>
      </c>
    </row>
    <row r="516" spans="1:3" x14ac:dyDescent="0.25">
      <c r="A516" s="143" t="s">
        <v>1262</v>
      </c>
      <c r="B516" s="143" t="s">
        <v>1263</v>
      </c>
      <c r="C516" s="143" t="s">
        <v>1263</v>
      </c>
    </row>
    <row r="517" spans="1:3" x14ac:dyDescent="0.25">
      <c r="A517" s="143" t="s">
        <v>1264</v>
      </c>
      <c r="B517" s="143" t="s">
        <v>503</v>
      </c>
      <c r="C517" s="143" t="s">
        <v>503</v>
      </c>
    </row>
    <row r="518" spans="1:3" x14ac:dyDescent="0.25">
      <c r="A518" s="143" t="s">
        <v>1265</v>
      </c>
      <c r="B518" s="143" t="s">
        <v>1266</v>
      </c>
      <c r="C518" s="143" t="s">
        <v>1266</v>
      </c>
    </row>
    <row r="519" spans="1:3" x14ac:dyDescent="0.25">
      <c r="A519" s="143" t="s">
        <v>1267</v>
      </c>
      <c r="B519" s="143" t="s">
        <v>128</v>
      </c>
      <c r="C519" s="143" t="s">
        <v>129</v>
      </c>
    </row>
    <row r="520" spans="1:3" x14ac:dyDescent="0.25">
      <c r="A520" s="143" t="s">
        <v>1268</v>
      </c>
      <c r="B520" s="143" t="s">
        <v>286</v>
      </c>
      <c r="C520" s="143" t="s">
        <v>286</v>
      </c>
    </row>
    <row r="521" spans="1:3" x14ac:dyDescent="0.25">
      <c r="A521" s="143" t="s">
        <v>1269</v>
      </c>
      <c r="B521" s="143" t="s">
        <v>844</v>
      </c>
      <c r="C521" s="143" t="s">
        <v>845</v>
      </c>
    </row>
    <row r="522" spans="1:3" x14ac:dyDescent="0.25">
      <c r="A522" s="143" t="s">
        <v>1270</v>
      </c>
      <c r="B522" s="143" t="s">
        <v>128</v>
      </c>
      <c r="C522" s="143" t="s">
        <v>129</v>
      </c>
    </row>
    <row r="523" spans="1:3" x14ac:dyDescent="0.25">
      <c r="A523" s="143" t="s">
        <v>1271</v>
      </c>
      <c r="B523" s="143" t="s">
        <v>177</v>
      </c>
      <c r="C523" s="143" t="s">
        <v>178</v>
      </c>
    </row>
    <row r="524" spans="1:3" x14ac:dyDescent="0.25">
      <c r="A524" s="143" t="s">
        <v>1272</v>
      </c>
      <c r="B524" s="143" t="s">
        <v>1273</v>
      </c>
      <c r="C524" s="143" t="s">
        <v>1274</v>
      </c>
    </row>
    <row r="525" spans="1:3" x14ac:dyDescent="0.25">
      <c r="A525" s="143" t="s">
        <v>1275</v>
      </c>
      <c r="B525" s="143" t="s">
        <v>1276</v>
      </c>
      <c r="C525" s="143" t="s">
        <v>1277</v>
      </c>
    </row>
    <row r="526" spans="1:3" x14ac:dyDescent="0.25">
      <c r="A526" s="143" t="s">
        <v>1278</v>
      </c>
      <c r="B526" s="143" t="s">
        <v>1279</v>
      </c>
      <c r="C526" s="143" t="s">
        <v>1280</v>
      </c>
    </row>
    <row r="527" spans="1:3" x14ac:dyDescent="0.25">
      <c r="A527" s="143" t="s">
        <v>1281</v>
      </c>
      <c r="B527" s="143" t="s">
        <v>1282</v>
      </c>
      <c r="C527" s="143" t="s">
        <v>1283</v>
      </c>
    </row>
    <row r="528" spans="1:3" x14ac:dyDescent="0.25">
      <c r="A528" s="143" t="s">
        <v>1284</v>
      </c>
      <c r="B528" s="143" t="s">
        <v>1285</v>
      </c>
      <c r="C528" s="143" t="s">
        <v>1286</v>
      </c>
    </row>
    <row r="529" spans="1:3" x14ac:dyDescent="0.25">
      <c r="A529" s="143" t="s">
        <v>1287</v>
      </c>
      <c r="B529" s="143" t="s">
        <v>1288</v>
      </c>
      <c r="C529" s="143" t="s">
        <v>1289</v>
      </c>
    </row>
    <row r="530" spans="1:3" x14ac:dyDescent="0.25">
      <c r="A530" s="143" t="s">
        <v>1290</v>
      </c>
      <c r="B530" s="143" t="s">
        <v>1291</v>
      </c>
      <c r="C530" s="143" t="s">
        <v>1292</v>
      </c>
    </row>
    <row r="531" spans="1:3" x14ac:dyDescent="0.25">
      <c r="A531" s="143" t="s">
        <v>1293</v>
      </c>
      <c r="B531" s="143" t="s">
        <v>1294</v>
      </c>
      <c r="C531" s="143" t="s">
        <v>1295</v>
      </c>
    </row>
    <row r="532" spans="1:3" x14ac:dyDescent="0.25">
      <c r="A532" s="143" t="s">
        <v>1296</v>
      </c>
      <c r="B532" s="143" t="s">
        <v>1297</v>
      </c>
      <c r="C532" s="143" t="s">
        <v>1298</v>
      </c>
    </row>
    <row r="533" spans="1:3" x14ac:dyDescent="0.25">
      <c r="A533" s="143" t="s">
        <v>1299</v>
      </c>
      <c r="B533" s="143" t="s">
        <v>1300</v>
      </c>
      <c r="C533" s="143" t="s">
        <v>1301</v>
      </c>
    </row>
    <row r="534" spans="1:3" x14ac:dyDescent="0.25">
      <c r="A534" s="143" t="s">
        <v>1302</v>
      </c>
      <c r="B534" s="143" t="s">
        <v>1303</v>
      </c>
      <c r="C534" s="143" t="s">
        <v>1304</v>
      </c>
    </row>
    <row r="535" spans="1:3" x14ac:dyDescent="0.25">
      <c r="A535" s="143" t="s">
        <v>1305</v>
      </c>
      <c r="B535" s="143" t="s">
        <v>1306</v>
      </c>
      <c r="C535" s="143" t="s">
        <v>1307</v>
      </c>
    </row>
    <row r="536" spans="1:3" x14ac:dyDescent="0.25">
      <c r="A536" s="143" t="s">
        <v>1308</v>
      </c>
      <c r="B536" s="143" t="s">
        <v>1309</v>
      </c>
      <c r="C536" s="143" t="s">
        <v>1310</v>
      </c>
    </row>
    <row r="537" spans="1:3" x14ac:dyDescent="0.25">
      <c r="A537" s="143" t="s">
        <v>1311</v>
      </c>
      <c r="B537" s="143" t="s">
        <v>1312</v>
      </c>
      <c r="C537" s="143" t="s">
        <v>1313</v>
      </c>
    </row>
    <row r="538" spans="1:3" x14ac:dyDescent="0.25">
      <c r="A538" s="143" t="s">
        <v>1314</v>
      </c>
      <c r="B538" s="143" t="s">
        <v>1315</v>
      </c>
      <c r="C538" s="143" t="s">
        <v>1316</v>
      </c>
    </row>
    <row r="539" spans="1:3" x14ac:dyDescent="0.25">
      <c r="A539" s="143" t="s">
        <v>1317</v>
      </c>
      <c r="B539" s="143" t="s">
        <v>1318</v>
      </c>
      <c r="C539" s="143" t="s">
        <v>1319</v>
      </c>
    </row>
    <row r="540" spans="1:3" x14ac:dyDescent="0.25">
      <c r="A540" s="143" t="s">
        <v>1320</v>
      </c>
      <c r="B540" s="143" t="s">
        <v>1321</v>
      </c>
      <c r="C540" s="143" t="s">
        <v>1322</v>
      </c>
    </row>
    <row r="541" spans="1:3" x14ac:dyDescent="0.25">
      <c r="A541" s="143" t="s">
        <v>1323</v>
      </c>
      <c r="B541" s="143" t="s">
        <v>1324</v>
      </c>
      <c r="C541" s="143" t="s">
        <v>1325</v>
      </c>
    </row>
    <row r="542" spans="1:3" x14ac:dyDescent="0.25">
      <c r="A542" s="143" t="s">
        <v>1326</v>
      </c>
      <c r="B542" s="143" t="s">
        <v>1327</v>
      </c>
      <c r="C542" s="143" t="s">
        <v>1328</v>
      </c>
    </row>
    <row r="543" spans="1:3" x14ac:dyDescent="0.25">
      <c r="A543" s="143" t="s">
        <v>1329</v>
      </c>
      <c r="B543" s="143" t="s">
        <v>1330</v>
      </c>
      <c r="C543" s="143" t="s">
        <v>1331</v>
      </c>
    </row>
    <row r="544" spans="1:3" x14ac:dyDescent="0.25">
      <c r="A544" s="143" t="s">
        <v>1332</v>
      </c>
      <c r="B544" s="143" t="s">
        <v>1333</v>
      </c>
      <c r="C544" s="143" t="s">
        <v>1334</v>
      </c>
    </row>
    <row r="545" spans="1:3" x14ac:dyDescent="0.25">
      <c r="A545" s="143" t="s">
        <v>1335</v>
      </c>
      <c r="B545" s="143" t="s">
        <v>979</v>
      </c>
      <c r="C545" s="143" t="s">
        <v>980</v>
      </c>
    </row>
    <row r="546" spans="1:3" x14ac:dyDescent="0.25">
      <c r="A546" s="143" t="s">
        <v>1336</v>
      </c>
      <c r="B546" s="143" t="s">
        <v>1273</v>
      </c>
      <c r="C546" s="143" t="s">
        <v>1274</v>
      </c>
    </row>
    <row r="547" spans="1:3" x14ac:dyDescent="0.25">
      <c r="A547" s="143" t="s">
        <v>1337</v>
      </c>
      <c r="B547" s="143" t="s">
        <v>1276</v>
      </c>
      <c r="C547" s="143" t="s">
        <v>1277</v>
      </c>
    </row>
    <row r="548" spans="1:3" x14ac:dyDescent="0.25">
      <c r="A548" s="143" t="s">
        <v>1338</v>
      </c>
      <c r="B548" s="143" t="s">
        <v>1279</v>
      </c>
      <c r="C548" s="143" t="s">
        <v>1280</v>
      </c>
    </row>
    <row r="549" spans="1:3" x14ac:dyDescent="0.25">
      <c r="A549" s="143" t="s">
        <v>1339</v>
      </c>
      <c r="B549" s="143" t="s">
        <v>1282</v>
      </c>
      <c r="C549" s="143" t="s">
        <v>1283</v>
      </c>
    </row>
    <row r="550" spans="1:3" x14ac:dyDescent="0.25">
      <c r="A550" s="143" t="s">
        <v>1340</v>
      </c>
      <c r="B550" s="143" t="s">
        <v>1285</v>
      </c>
      <c r="C550" s="143" t="s">
        <v>1286</v>
      </c>
    </row>
    <row r="551" spans="1:3" x14ac:dyDescent="0.25">
      <c r="A551" s="143" t="s">
        <v>1341</v>
      </c>
      <c r="B551" s="143" t="s">
        <v>1288</v>
      </c>
      <c r="C551" s="143" t="s">
        <v>1289</v>
      </c>
    </row>
    <row r="552" spans="1:3" x14ac:dyDescent="0.25">
      <c r="A552" s="143" t="s">
        <v>1342</v>
      </c>
      <c r="B552" s="143" t="s">
        <v>1343</v>
      </c>
      <c r="C552" s="143" t="s">
        <v>1344</v>
      </c>
    </row>
    <row r="553" spans="1:3" x14ac:dyDescent="0.25">
      <c r="A553" s="143" t="s">
        <v>1345</v>
      </c>
      <c r="B553" s="143" t="s">
        <v>1294</v>
      </c>
      <c r="C553" s="143" t="s">
        <v>1295</v>
      </c>
    </row>
    <row r="554" spans="1:3" x14ac:dyDescent="0.25">
      <c r="A554" s="143" t="s">
        <v>1346</v>
      </c>
      <c r="B554" s="143" t="s">
        <v>1297</v>
      </c>
      <c r="C554" s="143" t="s">
        <v>1298</v>
      </c>
    </row>
    <row r="555" spans="1:3" x14ac:dyDescent="0.25">
      <c r="A555" s="143" t="s">
        <v>1347</v>
      </c>
      <c r="B555" s="143" t="s">
        <v>1300</v>
      </c>
      <c r="C555" s="143" t="s">
        <v>1301</v>
      </c>
    </row>
    <row r="556" spans="1:3" x14ac:dyDescent="0.25">
      <c r="A556" s="143" t="s">
        <v>1348</v>
      </c>
      <c r="B556" s="143" t="s">
        <v>1303</v>
      </c>
      <c r="C556" s="143" t="s">
        <v>1304</v>
      </c>
    </row>
    <row r="557" spans="1:3" x14ac:dyDescent="0.25">
      <c r="A557" s="143" t="s">
        <v>1349</v>
      </c>
      <c r="B557" s="143" t="s">
        <v>1306</v>
      </c>
      <c r="C557" s="143" t="s">
        <v>1307</v>
      </c>
    </row>
    <row r="558" spans="1:3" x14ac:dyDescent="0.25">
      <c r="A558" s="143" t="s">
        <v>1350</v>
      </c>
      <c r="B558" s="143" t="s">
        <v>1309</v>
      </c>
      <c r="C558" s="143" t="s">
        <v>1310</v>
      </c>
    </row>
    <row r="559" spans="1:3" x14ac:dyDescent="0.25">
      <c r="A559" s="143" t="s">
        <v>1351</v>
      </c>
      <c r="B559" s="143" t="s">
        <v>1312</v>
      </c>
      <c r="C559" s="143" t="s">
        <v>1313</v>
      </c>
    </row>
    <row r="560" spans="1:3" x14ac:dyDescent="0.25">
      <c r="A560" s="143" t="s">
        <v>1352</v>
      </c>
      <c r="B560" s="143" t="s">
        <v>1315</v>
      </c>
      <c r="C560" s="143" t="s">
        <v>1316</v>
      </c>
    </row>
    <row r="561" spans="1:3" x14ac:dyDescent="0.25">
      <c r="A561" s="143" t="s">
        <v>1353</v>
      </c>
      <c r="B561" s="143" t="s">
        <v>1318</v>
      </c>
      <c r="C561" s="143" t="s">
        <v>1319</v>
      </c>
    </row>
    <row r="562" spans="1:3" x14ac:dyDescent="0.25">
      <c r="A562" s="143" t="s">
        <v>1354</v>
      </c>
      <c r="B562" s="143" t="s">
        <v>1321</v>
      </c>
      <c r="C562" s="143" t="s">
        <v>1322</v>
      </c>
    </row>
    <row r="563" spans="1:3" x14ac:dyDescent="0.25">
      <c r="A563" s="143" t="s">
        <v>1355</v>
      </c>
      <c r="B563" s="143" t="s">
        <v>1324</v>
      </c>
      <c r="C563" s="143" t="s">
        <v>1325</v>
      </c>
    </row>
    <row r="564" spans="1:3" x14ac:dyDescent="0.25">
      <c r="A564" s="143" t="s">
        <v>1356</v>
      </c>
      <c r="B564" s="143" t="s">
        <v>1327</v>
      </c>
      <c r="C564" s="143" t="s">
        <v>1328</v>
      </c>
    </row>
    <row r="565" spans="1:3" x14ac:dyDescent="0.25">
      <c r="A565" s="143" t="s">
        <v>1357</v>
      </c>
      <c r="B565" s="143" t="s">
        <v>1330</v>
      </c>
      <c r="C565" s="143" t="s">
        <v>1331</v>
      </c>
    </row>
    <row r="566" spans="1:3" x14ac:dyDescent="0.25">
      <c r="A566" s="143" t="s">
        <v>1358</v>
      </c>
      <c r="B566" s="143" t="s">
        <v>1333</v>
      </c>
      <c r="C566" s="143" t="s">
        <v>1334</v>
      </c>
    </row>
    <row r="567" spans="1:3" x14ac:dyDescent="0.25">
      <c r="A567" s="143" t="s">
        <v>1359</v>
      </c>
      <c r="B567" s="143" t="s">
        <v>1360</v>
      </c>
      <c r="C567" s="143" t="s">
        <v>1361</v>
      </c>
    </row>
    <row r="568" spans="1:3" x14ac:dyDescent="0.25">
      <c r="A568" s="143" t="s">
        <v>1362</v>
      </c>
      <c r="B568" s="143" t="s">
        <v>1363</v>
      </c>
      <c r="C568" s="143" t="s">
        <v>1364</v>
      </c>
    </row>
    <row r="569" spans="1:3" x14ac:dyDescent="0.25">
      <c r="A569" s="143" t="s">
        <v>1365</v>
      </c>
      <c r="B569" s="143" t="s">
        <v>1366</v>
      </c>
      <c r="C569" s="143" t="s">
        <v>1367</v>
      </c>
    </row>
    <row r="570" spans="1:3" x14ac:dyDescent="0.25">
      <c r="A570" s="143" t="s">
        <v>1368</v>
      </c>
      <c r="B570" s="143" t="s">
        <v>1369</v>
      </c>
      <c r="C570" s="143" t="s">
        <v>1370</v>
      </c>
    </row>
    <row r="571" spans="1:3" x14ac:dyDescent="0.25">
      <c r="A571" s="143" t="s">
        <v>1371</v>
      </c>
      <c r="B571" s="143" t="s">
        <v>1372</v>
      </c>
      <c r="C571" s="143" t="s">
        <v>1373</v>
      </c>
    </row>
    <row r="572" spans="1:3" x14ac:dyDescent="0.25">
      <c r="A572" s="143" t="s">
        <v>1374</v>
      </c>
      <c r="B572" s="143" t="s">
        <v>1375</v>
      </c>
      <c r="C572" s="143" t="s">
        <v>1376</v>
      </c>
    </row>
    <row r="573" spans="1:3" x14ac:dyDescent="0.25">
      <c r="A573" s="143" t="s">
        <v>1377</v>
      </c>
      <c r="B573" s="143" t="s">
        <v>1378</v>
      </c>
      <c r="C573" s="143" t="s">
        <v>1379</v>
      </c>
    </row>
    <row r="574" spans="1:3" x14ac:dyDescent="0.25">
      <c r="A574" s="143" t="s">
        <v>1380</v>
      </c>
      <c r="B574" s="143" t="s">
        <v>1381</v>
      </c>
      <c r="C574" s="143" t="s">
        <v>1382</v>
      </c>
    </row>
    <row r="575" spans="1:3" x14ac:dyDescent="0.25">
      <c r="A575" s="143" t="s">
        <v>1383</v>
      </c>
      <c r="B575" s="143" t="s">
        <v>1384</v>
      </c>
      <c r="C575" s="143" t="s">
        <v>1385</v>
      </c>
    </row>
    <row r="576" spans="1:3" x14ac:dyDescent="0.25">
      <c r="A576" s="143" t="s">
        <v>1386</v>
      </c>
      <c r="B576" s="143" t="s">
        <v>1387</v>
      </c>
      <c r="C576" s="143" t="s">
        <v>1388</v>
      </c>
    </row>
    <row r="577" spans="1:3" x14ac:dyDescent="0.25">
      <c r="A577" s="143" t="s">
        <v>1389</v>
      </c>
      <c r="B577" s="143" t="s">
        <v>1390</v>
      </c>
      <c r="C577" s="143" t="s">
        <v>1391</v>
      </c>
    </row>
    <row r="578" spans="1:3" x14ac:dyDescent="0.25">
      <c r="A578" s="143" t="s">
        <v>1392</v>
      </c>
      <c r="B578" s="143" t="s">
        <v>1393</v>
      </c>
      <c r="C578" s="143" t="s">
        <v>1394</v>
      </c>
    </row>
    <row r="579" spans="1:3" x14ac:dyDescent="0.25">
      <c r="A579" s="143" t="s">
        <v>1395</v>
      </c>
      <c r="B579" s="143" t="s">
        <v>1396</v>
      </c>
      <c r="C579" s="143" t="s">
        <v>1397</v>
      </c>
    </row>
    <row r="580" spans="1:3" x14ac:dyDescent="0.25">
      <c r="A580" s="143" t="s">
        <v>1398</v>
      </c>
      <c r="B580" s="143" t="s">
        <v>1399</v>
      </c>
      <c r="C580" s="143" t="s">
        <v>1400</v>
      </c>
    </row>
    <row r="581" spans="1:3" x14ac:dyDescent="0.25">
      <c r="A581" s="143" t="s">
        <v>1401</v>
      </c>
      <c r="B581" s="143" t="s">
        <v>1402</v>
      </c>
      <c r="C581" s="143" t="s">
        <v>1403</v>
      </c>
    </row>
    <row r="582" spans="1:3" x14ac:dyDescent="0.25">
      <c r="A582" s="143" t="s">
        <v>1404</v>
      </c>
      <c r="B582" s="143" t="s">
        <v>1405</v>
      </c>
      <c r="C582" s="143" t="s">
        <v>1406</v>
      </c>
    </row>
    <row r="583" spans="1:3" x14ac:dyDescent="0.25">
      <c r="A583" s="143" t="s">
        <v>1407</v>
      </c>
      <c r="B583" s="143" t="s">
        <v>505</v>
      </c>
      <c r="C583" s="143" t="s">
        <v>506</v>
      </c>
    </row>
    <row r="584" spans="1:3" x14ac:dyDescent="0.25">
      <c r="A584" s="143" t="s">
        <v>1408</v>
      </c>
      <c r="B584" s="143" t="s">
        <v>794</v>
      </c>
      <c r="C584" s="143" t="s">
        <v>795</v>
      </c>
    </row>
    <row r="585" spans="1:3" x14ac:dyDescent="0.25">
      <c r="A585" s="143" t="s">
        <v>1409</v>
      </c>
      <c r="B585" s="143" t="s">
        <v>125</v>
      </c>
      <c r="C585" s="143" t="s">
        <v>126</v>
      </c>
    </row>
    <row r="586" spans="1:3" x14ac:dyDescent="0.25">
      <c r="A586" s="143" t="s">
        <v>1410</v>
      </c>
      <c r="B586" s="143" t="s">
        <v>1411</v>
      </c>
      <c r="C586" s="143" t="s">
        <v>1412</v>
      </c>
    </row>
    <row r="587" spans="1:3" x14ac:dyDescent="0.25">
      <c r="A587" s="143" t="s">
        <v>1413</v>
      </c>
      <c r="B587" s="143" t="s">
        <v>1414</v>
      </c>
      <c r="C587" s="143" t="s">
        <v>1415</v>
      </c>
    </row>
    <row r="588" spans="1:3" x14ac:dyDescent="0.25">
      <c r="A588" s="143" t="s">
        <v>1416</v>
      </c>
      <c r="B588" s="143" t="s">
        <v>1417</v>
      </c>
      <c r="C588" s="143" t="s">
        <v>1418</v>
      </c>
    </row>
    <row r="589" spans="1:3" x14ac:dyDescent="0.25">
      <c r="A589" s="143" t="s">
        <v>1419</v>
      </c>
      <c r="B589" s="143" t="s">
        <v>1420</v>
      </c>
      <c r="C589" s="143" t="s">
        <v>1421</v>
      </c>
    </row>
    <row r="590" spans="1:3" x14ac:dyDescent="0.25">
      <c r="A590" s="143" t="s">
        <v>1422</v>
      </c>
      <c r="B590" s="143" t="s">
        <v>1423</v>
      </c>
      <c r="C590" s="143" t="s">
        <v>1424</v>
      </c>
    </row>
    <row r="591" spans="1:3" x14ac:dyDescent="0.25">
      <c r="A591" s="143" t="s">
        <v>1425</v>
      </c>
      <c r="B591" s="143" t="s">
        <v>1426</v>
      </c>
      <c r="C591" s="143" t="s">
        <v>1427</v>
      </c>
    </row>
    <row r="592" spans="1:3" x14ac:dyDescent="0.25">
      <c r="A592" s="143" t="s">
        <v>1428</v>
      </c>
      <c r="B592" s="143" t="s">
        <v>1429</v>
      </c>
      <c r="C592" s="143" t="s">
        <v>1430</v>
      </c>
    </row>
    <row r="593" spans="1:3" x14ac:dyDescent="0.25">
      <c r="A593" s="143" t="s">
        <v>1431</v>
      </c>
      <c r="B593" s="143" t="s">
        <v>1432</v>
      </c>
      <c r="C593" s="143" t="s">
        <v>1433</v>
      </c>
    </row>
    <row r="594" spans="1:3" x14ac:dyDescent="0.25">
      <c r="A594" s="143" t="s">
        <v>1434</v>
      </c>
      <c r="B594" s="143" t="s">
        <v>1435</v>
      </c>
      <c r="C594" s="143" t="s">
        <v>1436</v>
      </c>
    </row>
    <row r="595" spans="1:3" x14ac:dyDescent="0.25">
      <c r="A595" s="143" t="s">
        <v>1437</v>
      </c>
      <c r="B595" s="143" t="s">
        <v>1438</v>
      </c>
      <c r="C595" s="143" t="s">
        <v>1439</v>
      </c>
    </row>
    <row r="596" spans="1:3" x14ac:dyDescent="0.25">
      <c r="A596" s="143" t="s">
        <v>1440</v>
      </c>
      <c r="B596" s="143" t="s">
        <v>1441</v>
      </c>
      <c r="C596" s="143" t="s">
        <v>1442</v>
      </c>
    </row>
    <row r="597" spans="1:3" x14ac:dyDescent="0.25">
      <c r="A597" s="143" t="s">
        <v>1443</v>
      </c>
      <c r="B597" s="143" t="s">
        <v>833</v>
      </c>
      <c r="C597" s="143" t="s">
        <v>834</v>
      </c>
    </row>
    <row r="598" spans="1:3" x14ac:dyDescent="0.25">
      <c r="A598" s="143" t="s">
        <v>1444</v>
      </c>
      <c r="B598" s="143" t="s">
        <v>1445</v>
      </c>
      <c r="C598" s="143" t="s">
        <v>1445</v>
      </c>
    </row>
    <row r="599" spans="1:3" x14ac:dyDescent="0.25">
      <c r="A599" s="143" t="s">
        <v>1446</v>
      </c>
      <c r="B599" s="143" t="s">
        <v>1447</v>
      </c>
      <c r="C599" s="143" t="s">
        <v>1447</v>
      </c>
    </row>
    <row r="600" spans="1:3" x14ac:dyDescent="0.25">
      <c r="A600" s="143" t="s">
        <v>1448</v>
      </c>
      <c r="B600" s="143" t="s">
        <v>1449</v>
      </c>
      <c r="C600" s="143" t="s">
        <v>1450</v>
      </c>
    </row>
    <row r="601" spans="1:3" x14ac:dyDescent="0.25">
      <c r="A601" s="143" t="s">
        <v>1451</v>
      </c>
      <c r="B601" s="143" t="s">
        <v>1452</v>
      </c>
      <c r="C601" s="143" t="s">
        <v>1453</v>
      </c>
    </row>
    <row r="602" spans="1:3" x14ac:dyDescent="0.25">
      <c r="A602" s="143" t="s">
        <v>1454</v>
      </c>
      <c r="B602" s="143" t="s">
        <v>1455</v>
      </c>
      <c r="C602" s="143" t="s">
        <v>1455</v>
      </c>
    </row>
    <row r="603" spans="1:3" x14ac:dyDescent="0.25">
      <c r="A603" s="143" t="s">
        <v>1456</v>
      </c>
      <c r="B603" s="143" t="s">
        <v>1457</v>
      </c>
      <c r="C603" s="143" t="s">
        <v>1457</v>
      </c>
    </row>
    <row r="604" spans="1:3" x14ac:dyDescent="0.25">
      <c r="A604" s="143" t="s">
        <v>1458</v>
      </c>
      <c r="B604" s="143" t="s">
        <v>1459</v>
      </c>
      <c r="C604" s="143" t="s">
        <v>1459</v>
      </c>
    </row>
    <row r="605" spans="1:3" x14ac:dyDescent="0.25">
      <c r="A605" s="143" t="s">
        <v>1460</v>
      </c>
      <c r="B605" s="143" t="s">
        <v>1461</v>
      </c>
      <c r="C605" s="143" t="s">
        <v>1461</v>
      </c>
    </row>
    <row r="606" spans="1:3" x14ac:dyDescent="0.25">
      <c r="A606" s="143" t="s">
        <v>1462</v>
      </c>
      <c r="B606" s="143" t="s">
        <v>1163</v>
      </c>
      <c r="C606" s="143" t="s">
        <v>1164</v>
      </c>
    </row>
    <row r="607" spans="1:3" x14ac:dyDescent="0.25">
      <c r="A607" s="143" t="s">
        <v>1463</v>
      </c>
      <c r="B607" s="143" t="s">
        <v>638</v>
      </c>
      <c r="C607" s="143" t="s">
        <v>638</v>
      </c>
    </row>
    <row r="608" spans="1:3" x14ac:dyDescent="0.25">
      <c r="A608" s="143" t="s">
        <v>1464</v>
      </c>
      <c r="B608" s="143" t="s">
        <v>444</v>
      </c>
      <c r="C608" s="143" t="s">
        <v>444</v>
      </c>
    </row>
    <row r="609" spans="1:3" x14ac:dyDescent="0.25">
      <c r="A609" s="143" t="s">
        <v>1465</v>
      </c>
      <c r="B609" s="143" t="s">
        <v>1466</v>
      </c>
      <c r="C609" s="143" t="s">
        <v>1466</v>
      </c>
    </row>
    <row r="610" spans="1:3" x14ac:dyDescent="0.25">
      <c r="A610" s="143" t="s">
        <v>1467</v>
      </c>
      <c r="B610" s="143" t="s">
        <v>1468</v>
      </c>
      <c r="C610" s="143" t="s">
        <v>1468</v>
      </c>
    </row>
    <row r="611" spans="1:3" x14ac:dyDescent="0.25">
      <c r="A611" s="143" t="s">
        <v>1469</v>
      </c>
      <c r="B611" s="143" t="s">
        <v>1470</v>
      </c>
      <c r="C611" s="143" t="s">
        <v>1470</v>
      </c>
    </row>
    <row r="612" spans="1:3" x14ac:dyDescent="0.25">
      <c r="A612" s="143" t="s">
        <v>1471</v>
      </c>
      <c r="B612" s="143" t="s">
        <v>1472</v>
      </c>
      <c r="C612" s="143" t="s">
        <v>1472</v>
      </c>
    </row>
    <row r="613" spans="1:3" x14ac:dyDescent="0.25">
      <c r="A613" s="143" t="s">
        <v>1473</v>
      </c>
      <c r="B613" s="143" t="s">
        <v>1474</v>
      </c>
      <c r="C613" s="143" t="s">
        <v>1474</v>
      </c>
    </row>
    <row r="614" spans="1:3" x14ac:dyDescent="0.25">
      <c r="A614" s="143" t="s">
        <v>1475</v>
      </c>
      <c r="B614" s="143" t="s">
        <v>1476</v>
      </c>
      <c r="C614" s="143" t="s">
        <v>1476</v>
      </c>
    </row>
    <row r="615" spans="1:3" x14ac:dyDescent="0.25">
      <c r="A615" s="143" t="s">
        <v>1477</v>
      </c>
      <c r="B615" s="143" t="s">
        <v>1478</v>
      </c>
      <c r="C615" s="143" t="s">
        <v>1479</v>
      </c>
    </row>
    <row r="616" spans="1:3" x14ac:dyDescent="0.25">
      <c r="A616" s="143" t="s">
        <v>1480</v>
      </c>
      <c r="B616" s="143" t="s">
        <v>437</v>
      </c>
      <c r="C616" s="143" t="s">
        <v>437</v>
      </c>
    </row>
    <row r="617" spans="1:3" x14ac:dyDescent="0.25">
      <c r="A617" s="143" t="s">
        <v>1481</v>
      </c>
      <c r="B617" s="143" t="s">
        <v>603</v>
      </c>
      <c r="C617" s="143" t="s">
        <v>603</v>
      </c>
    </row>
    <row r="618" spans="1:3" x14ac:dyDescent="0.25">
      <c r="A618" s="143" t="s">
        <v>1482</v>
      </c>
      <c r="B618" s="143" t="s">
        <v>605</v>
      </c>
      <c r="C618" s="143" t="s">
        <v>605</v>
      </c>
    </row>
    <row r="619" spans="1:3" x14ac:dyDescent="0.25">
      <c r="A619" s="143" t="s">
        <v>1483</v>
      </c>
      <c r="B619" s="143" t="s">
        <v>833</v>
      </c>
      <c r="C619" s="143" t="s">
        <v>834</v>
      </c>
    </row>
    <row r="620" spans="1:3" x14ac:dyDescent="0.25">
      <c r="A620" s="143" t="s">
        <v>1484</v>
      </c>
      <c r="B620" s="143" t="s">
        <v>1485</v>
      </c>
      <c r="C620" s="143" t="s">
        <v>1485</v>
      </c>
    </row>
    <row r="621" spans="1:3" x14ac:dyDescent="0.25">
      <c r="A621" s="143" t="s">
        <v>1486</v>
      </c>
      <c r="B621" s="143" t="s">
        <v>1487</v>
      </c>
      <c r="C621" s="143" t="s">
        <v>1488</v>
      </c>
    </row>
    <row r="622" spans="1:3" x14ac:dyDescent="0.25">
      <c r="A622" s="143" t="s">
        <v>1489</v>
      </c>
      <c r="B622" s="143" t="s">
        <v>1490</v>
      </c>
      <c r="C622" s="143" t="s">
        <v>1491</v>
      </c>
    </row>
    <row r="623" spans="1:3" x14ac:dyDescent="0.25">
      <c r="A623" s="143" t="s">
        <v>1492</v>
      </c>
      <c r="B623" s="143" t="s">
        <v>1493</v>
      </c>
      <c r="C623" s="143" t="s">
        <v>1494</v>
      </c>
    </row>
    <row r="624" spans="1:3" x14ac:dyDescent="0.25">
      <c r="A624" s="143" t="s">
        <v>1495</v>
      </c>
      <c r="B624" s="143" t="s">
        <v>1496</v>
      </c>
      <c r="C624" s="143" t="s">
        <v>1497</v>
      </c>
    </row>
    <row r="625" spans="1:3" x14ac:dyDescent="0.25">
      <c r="A625" s="143" t="s">
        <v>1498</v>
      </c>
      <c r="B625" s="143" t="s">
        <v>1499</v>
      </c>
      <c r="C625" s="143" t="s">
        <v>1500</v>
      </c>
    </row>
    <row r="626" spans="1:3" x14ac:dyDescent="0.25">
      <c r="A626" s="143" t="s">
        <v>1501</v>
      </c>
      <c r="B626" s="143" t="s">
        <v>1502</v>
      </c>
      <c r="C626" s="143" t="s">
        <v>1503</v>
      </c>
    </row>
    <row r="627" spans="1:3" x14ac:dyDescent="0.25">
      <c r="A627" s="143" t="s">
        <v>1504</v>
      </c>
      <c r="B627" s="143" t="s">
        <v>1505</v>
      </c>
      <c r="C627" s="143" t="s">
        <v>1506</v>
      </c>
    </row>
    <row r="628" spans="1:3" x14ac:dyDescent="0.25">
      <c r="A628" s="143" t="s">
        <v>1507</v>
      </c>
      <c r="B628" s="143" t="s">
        <v>1508</v>
      </c>
      <c r="C628" s="143" t="s">
        <v>1509</v>
      </c>
    </row>
    <row r="629" spans="1:3" x14ac:dyDescent="0.25">
      <c r="A629" s="143" t="s">
        <v>1510</v>
      </c>
      <c r="B629" s="143" t="s">
        <v>833</v>
      </c>
      <c r="C629" s="143" t="s">
        <v>834</v>
      </c>
    </row>
    <row r="630" spans="1:3" x14ac:dyDescent="0.25">
      <c r="A630" s="143" t="s">
        <v>1511</v>
      </c>
      <c r="B630" s="143" t="s">
        <v>1512</v>
      </c>
      <c r="C630" s="143" t="s">
        <v>1512</v>
      </c>
    </row>
    <row r="631" spans="1:3" x14ac:dyDescent="0.25">
      <c r="A631" s="143" t="s">
        <v>1513</v>
      </c>
      <c r="B631" s="143" t="s">
        <v>1045</v>
      </c>
      <c r="C631" s="143" t="s">
        <v>1046</v>
      </c>
    </row>
    <row r="632" spans="1:3" x14ac:dyDescent="0.25">
      <c r="A632" s="143" t="s">
        <v>1514</v>
      </c>
      <c r="B632" s="143" t="s">
        <v>505</v>
      </c>
      <c r="C632" s="143" t="s">
        <v>506</v>
      </c>
    </row>
    <row r="633" spans="1:3" x14ac:dyDescent="0.25">
      <c r="A633" s="143" t="s">
        <v>1515</v>
      </c>
      <c r="B633" s="143" t="s">
        <v>290</v>
      </c>
      <c r="C633" s="143" t="s">
        <v>291</v>
      </c>
    </row>
    <row r="634" spans="1:3" x14ac:dyDescent="0.25">
      <c r="A634" s="143" t="s">
        <v>1516</v>
      </c>
      <c r="B634" s="143" t="s">
        <v>1085</v>
      </c>
      <c r="C634" s="143" t="s">
        <v>1086</v>
      </c>
    </row>
    <row r="635" spans="1:3" x14ac:dyDescent="0.25">
      <c r="A635" s="143" t="s">
        <v>1517</v>
      </c>
      <c r="B635" s="143" t="s">
        <v>321</v>
      </c>
      <c r="C635" s="143" t="s">
        <v>321</v>
      </c>
    </row>
    <row r="636" spans="1:3" x14ac:dyDescent="0.25">
      <c r="A636" s="143" t="s">
        <v>1518</v>
      </c>
      <c r="B636" s="143" t="s">
        <v>794</v>
      </c>
      <c r="C636" s="143" t="s">
        <v>795</v>
      </c>
    </row>
    <row r="637" spans="1:3" x14ac:dyDescent="0.25">
      <c r="A637" s="143" t="s">
        <v>1519</v>
      </c>
      <c r="B637" s="143" t="s">
        <v>794</v>
      </c>
      <c r="C637" s="143" t="s">
        <v>795</v>
      </c>
    </row>
    <row r="638" spans="1:3" x14ac:dyDescent="0.25">
      <c r="A638" s="143" t="s">
        <v>1520</v>
      </c>
      <c r="B638" s="143" t="s">
        <v>121</v>
      </c>
      <c r="C638" s="143" t="s">
        <v>121</v>
      </c>
    </row>
    <row r="639" spans="1:3" x14ac:dyDescent="0.25">
      <c r="A639" s="143" t="s">
        <v>1521</v>
      </c>
      <c r="B639" s="143" t="s">
        <v>143</v>
      </c>
      <c r="C639" s="143" t="s">
        <v>143</v>
      </c>
    </row>
    <row r="640" spans="1:3" x14ac:dyDescent="0.25">
      <c r="A640" s="143" t="s">
        <v>1522</v>
      </c>
      <c r="B640" s="143" t="s">
        <v>1523</v>
      </c>
      <c r="C640" s="143" t="s">
        <v>1523</v>
      </c>
    </row>
    <row r="641" spans="1:3" x14ac:dyDescent="0.25">
      <c r="A641" s="143" t="s">
        <v>1524</v>
      </c>
      <c r="B641" s="143" t="s">
        <v>1525</v>
      </c>
      <c r="C641" s="143" t="s">
        <v>1525</v>
      </c>
    </row>
    <row r="642" spans="1:3" x14ac:dyDescent="0.25">
      <c r="A642" s="143" t="s">
        <v>1526</v>
      </c>
      <c r="B642" s="143" t="s">
        <v>1527</v>
      </c>
      <c r="C642" s="143" t="s">
        <v>1527</v>
      </c>
    </row>
    <row r="643" spans="1:3" x14ac:dyDescent="0.25">
      <c r="A643" s="143" t="s">
        <v>1528</v>
      </c>
      <c r="B643" s="143" t="s">
        <v>1529</v>
      </c>
      <c r="C643" s="143" t="s">
        <v>1529</v>
      </c>
    </row>
    <row r="644" spans="1:3" x14ac:dyDescent="0.25">
      <c r="A644" s="143" t="s">
        <v>1530</v>
      </c>
      <c r="B644" s="143" t="s">
        <v>1531</v>
      </c>
      <c r="C644" s="143" t="s">
        <v>1531</v>
      </c>
    </row>
    <row r="645" spans="1:3" x14ac:dyDescent="0.25">
      <c r="A645" s="143" t="s">
        <v>1532</v>
      </c>
      <c r="B645" s="143" t="s">
        <v>1533</v>
      </c>
      <c r="C645" s="143" t="s">
        <v>1533</v>
      </c>
    </row>
    <row r="646" spans="1:3" x14ac:dyDescent="0.25">
      <c r="A646" s="143" t="s">
        <v>1534</v>
      </c>
      <c r="B646" s="143" t="s">
        <v>1535</v>
      </c>
      <c r="C646" s="143" t="s">
        <v>1535</v>
      </c>
    </row>
    <row r="647" spans="1:3" x14ac:dyDescent="0.25">
      <c r="A647" s="143" t="s">
        <v>1536</v>
      </c>
      <c r="B647" s="143" t="s">
        <v>1537</v>
      </c>
      <c r="C647" s="143" t="s">
        <v>1537</v>
      </c>
    </row>
    <row r="648" spans="1:3" x14ac:dyDescent="0.25">
      <c r="A648" s="143" t="s">
        <v>1538</v>
      </c>
      <c r="B648" s="143" t="s">
        <v>1539</v>
      </c>
      <c r="C648" s="143" t="s">
        <v>1540</v>
      </c>
    </row>
    <row r="649" spans="1:3" x14ac:dyDescent="0.25">
      <c r="A649" s="143" t="s">
        <v>1541</v>
      </c>
      <c r="B649" s="143" t="s">
        <v>1542</v>
      </c>
      <c r="C649" s="143" t="s">
        <v>1542</v>
      </c>
    </row>
    <row r="650" spans="1:3" x14ac:dyDescent="0.25">
      <c r="A650" s="143" t="s">
        <v>1543</v>
      </c>
      <c r="B650" s="143" t="s">
        <v>1544</v>
      </c>
      <c r="C650" s="143" t="s">
        <v>1544</v>
      </c>
    </row>
    <row r="651" spans="1:3" x14ac:dyDescent="0.25">
      <c r="A651" s="143" t="s">
        <v>1545</v>
      </c>
      <c r="B651" s="143" t="s">
        <v>1546</v>
      </c>
      <c r="C651" s="143" t="s">
        <v>1546</v>
      </c>
    </row>
    <row r="652" spans="1:3" x14ac:dyDescent="0.25">
      <c r="A652" s="143" t="s">
        <v>1547</v>
      </c>
      <c r="B652" s="143" t="s">
        <v>1548</v>
      </c>
      <c r="C652" s="143" t="s">
        <v>1548</v>
      </c>
    </row>
    <row r="653" spans="1:3" x14ac:dyDescent="0.25">
      <c r="A653" s="143" t="s">
        <v>1549</v>
      </c>
      <c r="B653" s="143" t="s">
        <v>1550</v>
      </c>
      <c r="C653" s="143" t="s">
        <v>1550</v>
      </c>
    </row>
    <row r="654" spans="1:3" x14ac:dyDescent="0.25">
      <c r="A654" s="143" t="s">
        <v>1551</v>
      </c>
      <c r="B654" s="143" t="s">
        <v>1552</v>
      </c>
      <c r="C654" s="143" t="s">
        <v>1552</v>
      </c>
    </row>
    <row r="655" spans="1:3" x14ac:dyDescent="0.25">
      <c r="A655" s="143" t="s">
        <v>1553</v>
      </c>
      <c r="B655" s="143" t="s">
        <v>1554</v>
      </c>
      <c r="C655" s="143" t="s">
        <v>1554</v>
      </c>
    </row>
    <row r="656" spans="1:3" x14ac:dyDescent="0.25">
      <c r="A656" s="143" t="s">
        <v>1555</v>
      </c>
      <c r="B656" s="143" t="s">
        <v>1556</v>
      </c>
      <c r="C656" s="143" t="s">
        <v>1556</v>
      </c>
    </row>
    <row r="657" spans="1:3" x14ac:dyDescent="0.25">
      <c r="A657" s="143" t="s">
        <v>1557</v>
      </c>
      <c r="B657" s="143" t="s">
        <v>243</v>
      </c>
      <c r="C657" s="143" t="s">
        <v>243</v>
      </c>
    </row>
    <row r="658" spans="1:3" x14ac:dyDescent="0.25">
      <c r="A658" s="143" t="s">
        <v>1558</v>
      </c>
      <c r="B658" s="143" t="s">
        <v>1559</v>
      </c>
      <c r="C658" s="143" t="s">
        <v>1559</v>
      </c>
    </row>
    <row r="659" spans="1:3" x14ac:dyDescent="0.25">
      <c r="A659" s="143" t="s">
        <v>1560</v>
      </c>
      <c r="B659" s="143" t="s">
        <v>1561</v>
      </c>
      <c r="C659" s="143" t="s">
        <v>1561</v>
      </c>
    </row>
    <row r="660" spans="1:3" x14ac:dyDescent="0.25">
      <c r="A660" s="143" t="s">
        <v>1562</v>
      </c>
      <c r="B660" s="143" t="s">
        <v>1563</v>
      </c>
      <c r="C660" s="143" t="s">
        <v>1563</v>
      </c>
    </row>
    <row r="661" spans="1:3" x14ac:dyDescent="0.25">
      <c r="A661" s="143" t="s">
        <v>1564</v>
      </c>
      <c r="B661" s="143" t="s">
        <v>652</v>
      </c>
      <c r="C661" s="143" t="s">
        <v>652</v>
      </c>
    </row>
    <row r="662" spans="1:3" x14ac:dyDescent="0.25">
      <c r="A662" s="143" t="s">
        <v>1565</v>
      </c>
      <c r="B662" s="143" t="s">
        <v>1566</v>
      </c>
      <c r="C662" s="143" t="s">
        <v>1566</v>
      </c>
    </row>
    <row r="663" spans="1:3" x14ac:dyDescent="0.25">
      <c r="A663" s="143" t="s">
        <v>1567</v>
      </c>
      <c r="B663" s="143" t="s">
        <v>235</v>
      </c>
      <c r="C663" s="143" t="s">
        <v>235</v>
      </c>
    </row>
    <row r="664" spans="1:3" x14ac:dyDescent="0.25">
      <c r="A664" s="143" t="s">
        <v>1568</v>
      </c>
      <c r="B664" s="143" t="s">
        <v>135</v>
      </c>
      <c r="C664" s="143" t="s">
        <v>135</v>
      </c>
    </row>
    <row r="665" spans="1:3" x14ac:dyDescent="0.25">
      <c r="A665" s="143" t="s">
        <v>1569</v>
      </c>
      <c r="B665" s="143" t="s">
        <v>601</v>
      </c>
      <c r="C665" s="143" t="s">
        <v>601</v>
      </c>
    </row>
    <row r="666" spans="1:3" x14ac:dyDescent="0.25">
      <c r="A666" s="143" t="s">
        <v>1570</v>
      </c>
      <c r="B666" s="143" t="s">
        <v>383</v>
      </c>
      <c r="C666" s="143" t="s">
        <v>383</v>
      </c>
    </row>
    <row r="667" spans="1:3" x14ac:dyDescent="0.25">
      <c r="A667" s="143" t="s">
        <v>1571</v>
      </c>
      <c r="B667" s="143" t="s">
        <v>418</v>
      </c>
      <c r="C667" s="143" t="s">
        <v>418</v>
      </c>
    </row>
    <row r="668" spans="1:3" x14ac:dyDescent="0.25">
      <c r="A668" s="143" t="s">
        <v>1572</v>
      </c>
      <c r="B668" s="143" t="s">
        <v>552</v>
      </c>
      <c r="C668" s="143" t="s">
        <v>552</v>
      </c>
    </row>
    <row r="669" spans="1:3" x14ac:dyDescent="0.25">
      <c r="A669" s="143" t="s">
        <v>1573</v>
      </c>
      <c r="B669" s="143" t="s">
        <v>400</v>
      </c>
      <c r="C669" s="143" t="s">
        <v>400</v>
      </c>
    </row>
    <row r="670" spans="1:3" x14ac:dyDescent="0.25">
      <c r="A670" s="143" t="s">
        <v>1574</v>
      </c>
      <c r="B670" s="143" t="s">
        <v>472</v>
      </c>
      <c r="C670" s="143" t="s">
        <v>472</v>
      </c>
    </row>
    <row r="671" spans="1:3" x14ac:dyDescent="0.25">
      <c r="A671" s="143" t="s">
        <v>1575</v>
      </c>
      <c r="B671" s="143" t="s">
        <v>137</v>
      </c>
      <c r="C671" s="143" t="s">
        <v>137</v>
      </c>
    </row>
    <row r="672" spans="1:3" x14ac:dyDescent="0.25">
      <c r="A672" s="143" t="s">
        <v>1576</v>
      </c>
      <c r="B672" s="143" t="s">
        <v>370</v>
      </c>
      <c r="C672" s="143" t="s">
        <v>370</v>
      </c>
    </row>
    <row r="673" spans="1:3" x14ac:dyDescent="0.25">
      <c r="A673" s="143" t="s">
        <v>1577</v>
      </c>
      <c r="B673" s="143" t="s">
        <v>147</v>
      </c>
      <c r="C673" s="143" t="s">
        <v>147</v>
      </c>
    </row>
    <row r="674" spans="1:3" x14ac:dyDescent="0.25">
      <c r="A674" s="143" t="s">
        <v>1578</v>
      </c>
      <c r="B674" s="143" t="s">
        <v>695</v>
      </c>
      <c r="C674" s="143" t="s">
        <v>695</v>
      </c>
    </row>
    <row r="675" spans="1:3" x14ac:dyDescent="0.25">
      <c r="A675" s="143" t="s">
        <v>1579</v>
      </c>
      <c r="B675" s="143" t="s">
        <v>693</v>
      </c>
      <c r="C675" s="143" t="s">
        <v>693</v>
      </c>
    </row>
    <row r="676" spans="1:3" x14ac:dyDescent="0.25">
      <c r="A676" s="143" t="s">
        <v>1580</v>
      </c>
      <c r="B676" s="143" t="s">
        <v>159</v>
      </c>
      <c r="C676" s="143" t="s">
        <v>159</v>
      </c>
    </row>
    <row r="677" spans="1:3" x14ac:dyDescent="0.25">
      <c r="A677" s="143" t="s">
        <v>1581</v>
      </c>
      <c r="B677" s="143" t="s">
        <v>167</v>
      </c>
      <c r="C677" s="143" t="s">
        <v>167</v>
      </c>
    </row>
    <row r="678" spans="1:3" x14ac:dyDescent="0.25">
      <c r="A678" s="143" t="s">
        <v>1582</v>
      </c>
      <c r="B678" s="143" t="s">
        <v>339</v>
      </c>
      <c r="C678" s="143" t="s">
        <v>339</v>
      </c>
    </row>
    <row r="679" spans="1:3" x14ac:dyDescent="0.25">
      <c r="A679" s="143" t="s">
        <v>1583</v>
      </c>
      <c r="B679" s="143" t="s">
        <v>1584</v>
      </c>
      <c r="C679" s="143" t="s">
        <v>1584</v>
      </c>
    </row>
    <row r="680" spans="1:3" x14ac:dyDescent="0.25">
      <c r="A680" s="143" t="s">
        <v>1585</v>
      </c>
      <c r="B680" s="143" t="s">
        <v>1586</v>
      </c>
      <c r="C680" s="143" t="s">
        <v>1586</v>
      </c>
    </row>
    <row r="681" spans="1:3" x14ac:dyDescent="0.25">
      <c r="A681" s="143" t="s">
        <v>1587</v>
      </c>
      <c r="B681" s="143" t="s">
        <v>1588</v>
      </c>
      <c r="C681" s="143" t="s">
        <v>1588</v>
      </c>
    </row>
    <row r="682" spans="1:3" x14ac:dyDescent="0.25">
      <c r="A682" s="143" t="s">
        <v>1589</v>
      </c>
      <c r="B682" s="143" t="s">
        <v>773</v>
      </c>
      <c r="C682" s="143" t="s">
        <v>773</v>
      </c>
    </row>
    <row r="683" spans="1:3" x14ac:dyDescent="0.25">
      <c r="A683" s="143" t="s">
        <v>1590</v>
      </c>
      <c r="B683" s="143" t="s">
        <v>1591</v>
      </c>
      <c r="C683" s="143" t="s">
        <v>1591</v>
      </c>
    </row>
    <row r="684" spans="1:3" x14ac:dyDescent="0.25">
      <c r="A684" s="143" t="s">
        <v>1592</v>
      </c>
      <c r="B684" s="143" t="s">
        <v>597</v>
      </c>
      <c r="C684" s="143" t="s">
        <v>597</v>
      </c>
    </row>
    <row r="685" spans="1:3" x14ac:dyDescent="0.25">
      <c r="A685" s="143" t="s">
        <v>1593</v>
      </c>
      <c r="B685" s="143" t="s">
        <v>595</v>
      </c>
      <c r="C685" s="143" t="s">
        <v>595</v>
      </c>
    </row>
    <row r="686" spans="1:3" x14ac:dyDescent="0.25">
      <c r="A686" s="143" t="s">
        <v>1594</v>
      </c>
      <c r="B686" s="143" t="s">
        <v>180</v>
      </c>
      <c r="C686" s="143" t="s">
        <v>180</v>
      </c>
    </row>
    <row r="687" spans="1:3" x14ac:dyDescent="0.25">
      <c r="A687" s="143" t="s">
        <v>1595</v>
      </c>
      <c r="B687" s="143" t="s">
        <v>1596</v>
      </c>
      <c r="C687" s="143" t="s">
        <v>1596</v>
      </c>
    </row>
  </sheetData>
  <conditionalFormatting sqref="A2:A4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customXml/itemProps2.xml><?xml version="1.0" encoding="utf-8"?>
<ds:datastoreItem xmlns:ds="http://schemas.openxmlformats.org/officeDocument/2006/customXml" ds:itemID="{4B9F3CFE-3DD5-4017-B8DA-45F3F5D90F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687e38-06fd-4460-aecf-ae724b232555"/>
    <ds:schemaRef ds:uri="ac6af945-f9cb-4f74-a8fd-3f598ae5e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OCD</vt:lpstr>
      <vt:lpstr>Import Shift</vt:lpstr>
      <vt:lpstr>Danh sách 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IOCC-SPQ</cp:lastModifiedBy>
  <cp:revision/>
  <dcterms:created xsi:type="dcterms:W3CDTF">2025-10-02T01:46:48Z</dcterms:created>
  <dcterms:modified xsi:type="dcterms:W3CDTF">2026-08-14T10:55:54Z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