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9"/>
  <workbookPr/>
  <mc:AlternateContent xmlns:mc="http://schemas.openxmlformats.org/markup-compatibility/2006">
    <mc:Choice Requires="x15">
      <x15ac:absPath xmlns:x15ac="http://schemas.microsoft.com/office/spreadsheetml/2010/11/ac" url="C:\Users\huyvq03\Downloads\"/>
    </mc:Choice>
  </mc:AlternateContent>
  <xr:revisionPtr revIDLastSave="0" documentId="13_ncr:1_{5ED9D57D-56E8-4FE6-82B1-E5B58CAF3B0F}" xr6:coauthVersionLast="47" xr6:coauthVersionMax="47" xr10:uidLastSave="{00000000-0000-0000-0000-000000000000}"/>
  <bookViews>
    <workbookView xWindow="0" yWindow="0" windowWidth="19200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D28" i="1"/>
  <c r="D27" i="1"/>
  <c r="D26" i="1"/>
  <c r="C7" i="1"/>
  <c r="AK25" i="1"/>
  <c r="AJ25" i="1"/>
  <c r="AI25" i="1"/>
  <c r="AL25" i="1" s="1"/>
  <c r="AK24" i="1"/>
  <c r="AJ24" i="1"/>
  <c r="AI24" i="1"/>
  <c r="AL24" i="1" s="1"/>
  <c r="AK23" i="1"/>
  <c r="AJ23" i="1"/>
  <c r="AI23" i="1"/>
  <c r="AL23" i="1" s="1"/>
  <c r="AK22" i="1"/>
  <c r="AJ22" i="1"/>
  <c r="AI22" i="1"/>
  <c r="AL22" i="1" s="1"/>
  <c r="AK21" i="1"/>
  <c r="AJ21" i="1"/>
  <c r="AI21" i="1"/>
  <c r="AL21" i="1" s="1"/>
  <c r="AK20" i="1"/>
  <c r="AJ20" i="1"/>
  <c r="AI20" i="1"/>
  <c r="AL20" i="1" s="1"/>
  <c r="AK17" i="1"/>
  <c r="AJ17" i="1"/>
  <c r="AI17" i="1"/>
  <c r="AL17" i="1" s="1"/>
  <c r="AK19" i="1"/>
  <c r="AJ19" i="1"/>
  <c r="AI19" i="1"/>
  <c r="AL19" i="1" s="1"/>
  <c r="AK18" i="1"/>
  <c r="AJ18" i="1"/>
  <c r="AI18" i="1"/>
  <c r="AL18" i="1" s="1"/>
  <c r="AK16" i="1"/>
  <c r="AJ16" i="1"/>
  <c r="AI16" i="1"/>
  <c r="AK15" i="1"/>
  <c r="AJ15" i="1"/>
  <c r="AI15" i="1"/>
  <c r="AL15" i="1" s="1"/>
  <c r="AK14" i="1"/>
  <c r="AJ14" i="1"/>
  <c r="AI14" i="1"/>
  <c r="AK13" i="1"/>
  <c r="AJ13" i="1"/>
  <c r="AI13" i="1"/>
  <c r="AL13" i="1" s="1"/>
  <c r="AK12" i="1"/>
  <c r="AJ12" i="1"/>
  <c r="AI12" i="1"/>
  <c r="AL12" i="1" s="1"/>
  <c r="AL16" i="1" l="1"/>
  <c r="AL14" i="1"/>
</calcChain>
</file>

<file path=xl/sharedStrings.xml><?xml version="1.0" encoding="utf-8"?>
<sst xmlns="http://schemas.openxmlformats.org/spreadsheetml/2006/main" count="335" uniqueCount="63">
  <si>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</si>
  <si>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</si>
  <si>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</si>
  <si>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</si>
  <si>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</si>
  <si>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</si>
  <si>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</si>
  <si>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Tháng 11/2025</t>
  </si>
  <si>
    <t>Vị trí trực</t>
  </si>
  <si>
    <t>Mã nhân viên</t>
  </si>
  <si>
    <t>Họ tên</t>
  </si>
  <si>
    <t>Tổng công</t>
  </si>
  <si>
    <t>Giờ công</t>
  </si>
  <si>
    <t>C.Nhật</t>
  </si>
  <si>
    <t>T.Hai</t>
  </si>
  <si>
    <t>T.Ba</t>
  </si>
  <si>
    <t>T.Tư</t>
  </si>
  <si>
    <t>T.Năm</t>
  </si>
  <si>
    <t>T.Sáu</t>
  </si>
  <si>
    <t>T.Bảy</t>
  </si>
  <si>
    <t>Ca HC</t>
  </si>
  <si>
    <t>Ca M</t>
  </si>
  <si>
    <t>Ca E</t>
  </si>
  <si>
    <t>DM</t>
  </si>
  <si>
    <t>030346</t>
  </si>
  <si>
    <t>Đàm Xuân Hiến - DM Trainee</t>
  </si>
  <si>
    <t>HC</t>
  </si>
  <si>
    <t>E</t>
  </si>
  <si>
    <t>M</t>
  </si>
  <si>
    <t>030322</t>
  </si>
  <si>
    <t>Nguyễn Thái Uy - DM Trainee</t>
  </si>
  <si>
    <t>030903</t>
  </si>
  <si>
    <t>Đào Chí Dũng</t>
  </si>
  <si>
    <t>Nguyễn Ngọc Long</t>
  </si>
  <si>
    <t>Phạm Ninh Toàn</t>
  </si>
  <si>
    <t>DSP HDQ</t>
  </si>
  <si>
    <t>030841</t>
  </si>
  <si>
    <t>Vũ Hoàng Long</t>
  </si>
  <si>
    <t>030904</t>
  </si>
  <si>
    <t>Trần Đình Đạt</t>
  </si>
  <si>
    <t>030906</t>
  </si>
  <si>
    <t>Vũ Hoàng Hải</t>
  </si>
  <si>
    <t>030746</t>
  </si>
  <si>
    <t>Nguyễn Việt Cường</t>
  </si>
  <si>
    <t>030905</t>
  </si>
  <si>
    <t>Nguyễn Trường Hoàng Hưng</t>
  </si>
  <si>
    <t>DSP SGN</t>
  </si>
  <si>
    <t>Nguyễn Hoàng Huy</t>
  </si>
  <si>
    <t>Lương Trung Hiếu</t>
  </si>
  <si>
    <t>Nguyễn Phúc Thịnh</t>
  </si>
  <si>
    <t>Hoàng Bảo Ngọc</t>
  </si>
  <si>
    <t>Ghi chú:</t>
  </si>
  <si>
    <t>Ca sáng (M)</t>
  </si>
  <si>
    <t>Từ 07:30 - 19:30</t>
  </si>
  <si>
    <t>Ca tối (E)</t>
  </si>
  <si>
    <t>Từ 19:30 - 07:30+</t>
  </si>
  <si>
    <t>Hành chính (HC)</t>
  </si>
  <si>
    <t>Từ 08:30 - 17:30</t>
  </si>
  <si>
    <t>Hà Nội, ngày 14 tháng 10 năm 2025</t>
  </si>
  <si>
    <t>Phê duyệt bởi</t>
  </si>
  <si>
    <t>Lập bảng bởi</t>
  </si>
  <si>
    <t>(Ký và ghi rõ họ tên)</t>
  </si>
  <si>
    <t>Vũ Quang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</si>
</sst>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12" xfId="0" applyFont="1" applyBorder="1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1" fillId="2" borderId="12" xfId="0" applyFont="1" applyFill="1" applyBorder="1"/>
    <xf numFmtId="0" fontId="0" fillId="2" borderId="12" xfId="0" applyFill="1" applyBorder="1"/>
    <xf numFmtId="0" fontId="1" fillId="0" borderId="15" xfId="0" applyFont="1" applyBorder="1"/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2" borderId="18" xfId="0" applyFont="1" applyFill="1" applyBorder="1"/>
    <xf numFmtId="0" fontId="1" fillId="0" borderId="18" xfId="0" applyFont="1" applyBorder="1"/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1" fillId="0" borderId="14" xfId="0" applyFont="1" applyBorder="1"/>
    <xf numFmtId="0" fontId="1" fillId="4" borderId="14" xfId="0" applyFont="1" applyFill="1" applyBorder="1" applyAlignment="1">
      <alignment horizontal="center" vertical="center"/>
    </xf>
    <xf numFmtId="0" fontId="1" fillId="2" borderId="15" xfId="0" applyFont="1" applyFill="1" applyBorder="1"/>
    <xf numFmtId="0" fontId="0" fillId="2" borderId="18" xfId="0" applyFill="1" applyBorder="1"/>
    <xf numFmtId="0" fontId="1" fillId="0" borderId="13" xfId="0" applyFont="1" applyBorder="1"/>
    <xf numFmtId="0" fontId="1" fillId="4" borderId="13" xfId="0" applyFont="1" applyFill="1" applyBorder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1" fillId="0" borderId="25" xfId="0" quotePrefix="1" applyFont="1" applyBorder="1" applyAlignment="1">
      <alignment horizontal="center" vertical="center"/>
    </xf>
    <xf numFmtId="0" fontId="1" fillId="0" borderId="26" xfId="0" quotePrefix="1" applyFont="1" applyBorder="1" applyAlignment="1">
      <alignment horizontal="center" vertical="center"/>
    </xf>
    <xf numFmtId="0" fontId="1" fillId="0" borderId="27" xfId="0" quotePrefix="1" applyFont="1" applyBorder="1" applyAlignment="1">
      <alignment horizontal="center" vertical="center"/>
    </xf>
    <xf numFmtId="0" fontId="1" fillId="0" borderId="24" xfId="0" quotePrefix="1" applyFont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6" borderId="20" xfId="0" applyFont="1" applyFill="1" applyBorder="1"/>
    <xf numFmtId="0" fontId="1" fillId="6" borderId="15" xfId="0" applyFont="1" applyFill="1" applyBorder="1"/>
    <xf numFmtId="0" fontId="1" fillId="0" borderId="16" xfId="0" applyFont="1" applyBorder="1"/>
    <xf numFmtId="0" fontId="1" fillId="0" borderId="21" xfId="0" applyFont="1" applyBorder="1"/>
    <xf numFmtId="0" fontId="1" fillId="0" borderId="17" xfId="0" applyFont="1" applyBorder="1"/>
    <xf numFmtId="0" fontId="1" fillId="2" borderId="22" xfId="0" applyFont="1" applyFill="1" applyBorder="1"/>
    <xf numFmtId="0" fontId="1" fillId="0" borderId="19" xfId="0" applyFont="1" applyBorder="1"/>
    <xf numFmtId="0" fontId="1" fillId="0" borderId="43" xfId="0" applyFont="1" applyBorder="1"/>
    <xf numFmtId="0" fontId="1" fillId="0" borderId="41" xfId="0" applyFont="1" applyBorder="1"/>
    <xf numFmtId="0" fontId="1" fillId="2" borderId="20" xfId="0" applyFont="1" applyFill="1" applyBorder="1"/>
    <xf numFmtId="0" fontId="1" fillId="2" borderId="16" xfId="0" applyFont="1" applyFill="1" applyBorder="1"/>
    <xf numFmtId="0" fontId="1" fillId="2" borderId="21" xfId="0" applyFont="1" applyFill="1" applyBorder="1"/>
    <xf numFmtId="0" fontId="1" fillId="2" borderId="17" xfId="0" applyFont="1" applyFill="1" applyBorder="1"/>
    <xf numFmtId="0" fontId="0" fillId="2" borderId="21" xfId="0" applyFill="1" applyBorder="1"/>
    <xf numFmtId="0" fontId="0" fillId="2" borderId="17" xfId="0" applyFill="1" applyBorder="1"/>
    <xf numFmtId="0" fontId="0" fillId="2" borderId="22" xfId="0" applyFill="1" applyBorder="1"/>
    <xf numFmtId="0" fontId="0" fillId="2" borderId="19" xfId="0" applyFill="1" applyBorder="1"/>
    <xf numFmtId="0" fontId="1" fillId="0" borderId="46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2" fillId="4" borderId="37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7" borderId="46" xfId="0" applyFont="1" applyFill="1" applyBorder="1" applyAlignment="1">
      <alignment horizontal="center"/>
    </xf>
    <xf numFmtId="0" fontId="1" fillId="7" borderId="44" xfId="0" applyFont="1" applyFill="1" applyBorder="1" applyAlignment="1">
      <alignment horizontal="center"/>
    </xf>
    <xf numFmtId="0" fontId="1" fillId="7" borderId="45" xfId="0" applyFont="1" applyFill="1" applyBorder="1" applyAlignment="1">
      <alignment horizontal="center"/>
    </xf>
    <xf numFmtId="0" fontId="1" fillId="0" borderId="20" xfId="0" applyFont="1" applyBorder="1"/>
    <xf numFmtId="0" fontId="1" fillId="6" borderId="41" xfId="0" applyFont="1" applyFill="1" applyBorder="1" applyAlignment="1">
      <alignment horizontal="center" textRotation="90"/>
    </xf>
    <xf numFmtId="0" fontId="1" fillId="0" borderId="13" xfId="0" applyFont="1" applyBorder="1" applyAlignment="1">
      <alignment horizontal="center" textRotation="90"/>
    </xf>
    <xf numFmtId="0" fontId="1" fillId="6" borderId="13" xfId="0" applyFont="1" applyFill="1" applyBorder="1" applyAlignment="1">
      <alignment horizontal="center" textRotation="90"/>
    </xf>
    <xf numFmtId="0" fontId="1" fillId="0" borderId="42" xfId="0" applyFont="1" applyBorder="1" applyAlignment="1">
      <alignment horizontal="center" textRotation="90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22860</xdr:rowOff>
    </xdr:from>
    <xdr:to>
      <xdr:col>0</xdr:col>
      <xdr:colOff>1115695</xdr:colOff>
      <xdr:row>3</xdr:row>
      <xdr:rowOff>52070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860"/>
          <a:ext cx="963295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2"/>
  <sheetViews>
    <sheetView tabSelected="1" topLeftCell="D19" workbookViewId="0">
      <selection activeCell="AA34" sqref="AA34"/>
    </sheetView>
  </sheetViews>
  <sheetFormatPr defaultRowHeight="14.45"/>
  <cols>
    <col min="1" max="1" width="18" customWidth="1"/>
    <col min="2" max="2" width="19.5703125" customWidth="1"/>
    <col min="3" max="3" width="26.42578125" customWidth="1"/>
    <col min="4" max="34" width="3.85546875" customWidth="1"/>
    <col min="35" max="37" width="8.5703125" customWidth="1"/>
  </cols>
  <sheetData>
    <row r="1" spans="1:38" ht="14.45" customHeight="1">
      <c r="A1" s="82" t="s">
        <v>0</v>
      </c>
      <c r="B1" s="91" t="s">
        <v>1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3"/>
      <c r="AI1" s="11" t="s">
        <v>2</v>
      </c>
      <c r="AJ1" s="12"/>
      <c r="AK1" s="13"/>
    </row>
    <row r="2" spans="1:38" ht="14.45" customHeight="1">
      <c r="A2" s="83"/>
      <c r="B2" s="94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6"/>
      <c r="AI2" s="14" t="s">
        <v>3</v>
      </c>
      <c r="AJ2" s="6"/>
      <c r="AK2" s="7"/>
    </row>
    <row r="3" spans="1:38" ht="14.45" customHeight="1">
      <c r="A3" s="83"/>
      <c r="B3" s="94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  <c r="AI3" s="14" t="s">
        <v>4</v>
      </c>
      <c r="AJ3" s="6"/>
      <c r="AK3" s="7"/>
    </row>
    <row r="4" spans="1:38" ht="14.45" customHeight="1">
      <c r="A4" s="83"/>
      <c r="B4" s="94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6"/>
      <c r="AI4" s="14" t="s">
        <v>5</v>
      </c>
      <c r="AJ4" s="6"/>
      <c r="AK4" s="7"/>
    </row>
    <row r="5" spans="1:38" ht="15" customHeight="1" thickBot="1">
      <c r="A5" s="84"/>
      <c r="B5" s="97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9"/>
      <c r="AI5" s="8"/>
      <c r="AJ5" s="9"/>
      <c r="AK5" s="10"/>
    </row>
    <row r="7" spans="1:38">
      <c r="A7" s="2" t="s">
        <v>6</v>
      </c>
      <c r="B7">
        <v>26</v>
      </c>
      <c r="C7">
        <f>B7*8</f>
        <v>208</v>
      </c>
      <c r="AI7" s="2"/>
    </row>
    <row r="8" spans="1:38">
      <c r="A8" s="4" t="s">
        <v>7</v>
      </c>
    </row>
    <row r="10" spans="1:38">
      <c r="A10" s="89" t="s">
        <v>8</v>
      </c>
      <c r="B10" s="85" t="s">
        <v>9</v>
      </c>
      <c r="C10" s="87" t="s">
        <v>10</v>
      </c>
      <c r="D10" s="41">
        <v>26</v>
      </c>
      <c r="E10" s="17">
        <v>27</v>
      </c>
      <c r="F10" s="17">
        <v>28</v>
      </c>
      <c r="G10" s="17">
        <v>29</v>
      </c>
      <c r="H10" s="17">
        <v>30</v>
      </c>
      <c r="I10" s="17">
        <v>31</v>
      </c>
      <c r="J10" s="17">
        <v>1</v>
      </c>
      <c r="K10" s="42">
        <v>2</v>
      </c>
      <c r="L10" s="17">
        <v>3</v>
      </c>
      <c r="M10" s="17">
        <v>4</v>
      </c>
      <c r="N10" s="17">
        <v>5</v>
      </c>
      <c r="O10" s="17">
        <v>6</v>
      </c>
      <c r="P10" s="17">
        <v>7</v>
      </c>
      <c r="Q10" s="17">
        <v>8</v>
      </c>
      <c r="R10" s="42">
        <v>9</v>
      </c>
      <c r="S10" s="17">
        <v>10</v>
      </c>
      <c r="T10" s="17">
        <v>11</v>
      </c>
      <c r="U10" s="17">
        <v>12</v>
      </c>
      <c r="V10" s="17">
        <v>13</v>
      </c>
      <c r="W10" s="17">
        <v>14</v>
      </c>
      <c r="X10" s="17">
        <v>15</v>
      </c>
      <c r="Y10" s="42">
        <v>16</v>
      </c>
      <c r="Z10" s="17">
        <v>17</v>
      </c>
      <c r="AA10" s="17">
        <v>18</v>
      </c>
      <c r="AB10" s="17">
        <v>19</v>
      </c>
      <c r="AC10" s="17">
        <v>20</v>
      </c>
      <c r="AD10" s="17">
        <v>21</v>
      </c>
      <c r="AE10" s="17">
        <v>22</v>
      </c>
      <c r="AF10" s="42">
        <v>23</v>
      </c>
      <c r="AG10" s="17">
        <v>24</v>
      </c>
      <c r="AH10" s="43">
        <v>25</v>
      </c>
      <c r="AI10" s="80" t="s">
        <v>11</v>
      </c>
      <c r="AJ10" s="81"/>
      <c r="AK10" s="81"/>
      <c r="AL10" t="s">
        <v>12</v>
      </c>
    </row>
    <row r="11" spans="1:38" ht="36">
      <c r="A11" s="90"/>
      <c r="B11" s="86"/>
      <c r="C11" s="88"/>
      <c r="D11" s="72" t="s">
        <v>13</v>
      </c>
      <c r="E11" s="73" t="s">
        <v>14</v>
      </c>
      <c r="F11" s="73" t="s">
        <v>15</v>
      </c>
      <c r="G11" s="73" t="s">
        <v>16</v>
      </c>
      <c r="H11" s="73" t="s">
        <v>17</v>
      </c>
      <c r="I11" s="73" t="s">
        <v>18</v>
      </c>
      <c r="J11" s="73" t="s">
        <v>19</v>
      </c>
      <c r="K11" s="74" t="s">
        <v>13</v>
      </c>
      <c r="L11" s="73" t="s">
        <v>14</v>
      </c>
      <c r="M11" s="73" t="s">
        <v>15</v>
      </c>
      <c r="N11" s="73" t="s">
        <v>16</v>
      </c>
      <c r="O11" s="73" t="s">
        <v>17</v>
      </c>
      <c r="P11" s="73" t="s">
        <v>18</v>
      </c>
      <c r="Q11" s="73" t="s">
        <v>19</v>
      </c>
      <c r="R11" s="74" t="s">
        <v>13</v>
      </c>
      <c r="S11" s="73" t="s">
        <v>14</v>
      </c>
      <c r="T11" s="73" t="s">
        <v>15</v>
      </c>
      <c r="U11" s="73" t="s">
        <v>16</v>
      </c>
      <c r="V11" s="73" t="s">
        <v>17</v>
      </c>
      <c r="W11" s="73" t="s">
        <v>18</v>
      </c>
      <c r="X11" s="73" t="s">
        <v>19</v>
      </c>
      <c r="Y11" s="74" t="s">
        <v>13</v>
      </c>
      <c r="Z11" s="73" t="s">
        <v>14</v>
      </c>
      <c r="AA11" s="73" t="s">
        <v>15</v>
      </c>
      <c r="AB11" s="73" t="s">
        <v>16</v>
      </c>
      <c r="AC11" s="73" t="s">
        <v>17</v>
      </c>
      <c r="AD11" s="73" t="s">
        <v>18</v>
      </c>
      <c r="AE11" s="73" t="s">
        <v>19</v>
      </c>
      <c r="AF11" s="74" t="s">
        <v>13</v>
      </c>
      <c r="AG11" s="73" t="s">
        <v>14</v>
      </c>
      <c r="AH11" s="75" t="s">
        <v>15</v>
      </c>
      <c r="AI11" s="62" t="s">
        <v>20</v>
      </c>
      <c r="AJ11" s="25" t="s">
        <v>21</v>
      </c>
      <c r="AK11" s="25" t="s">
        <v>22</v>
      </c>
    </row>
    <row r="12" spans="1:38">
      <c r="A12" s="106" t="s">
        <v>23</v>
      </c>
      <c r="B12" s="32" t="s">
        <v>24</v>
      </c>
      <c r="C12" s="68" t="s">
        <v>25</v>
      </c>
      <c r="D12" s="71"/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27</v>
      </c>
      <c r="J12" s="17"/>
      <c r="K12" s="17"/>
      <c r="L12" s="17" t="s">
        <v>28</v>
      </c>
      <c r="M12" s="17" t="s">
        <v>28</v>
      </c>
      <c r="N12" s="17"/>
      <c r="O12" s="17" t="s">
        <v>27</v>
      </c>
      <c r="P12" s="17"/>
      <c r="Q12" s="17" t="s">
        <v>28</v>
      </c>
      <c r="R12" s="17" t="s">
        <v>28</v>
      </c>
      <c r="S12" s="17" t="s">
        <v>27</v>
      </c>
      <c r="T12" s="17"/>
      <c r="U12" s="17" t="s">
        <v>28</v>
      </c>
      <c r="V12" s="17"/>
      <c r="W12" s="17" t="s">
        <v>27</v>
      </c>
      <c r="X12" s="17"/>
      <c r="Y12" s="17" t="s">
        <v>28</v>
      </c>
      <c r="Z12" s="17" t="s">
        <v>26</v>
      </c>
      <c r="AA12" s="17" t="s">
        <v>27</v>
      </c>
      <c r="AB12" s="17"/>
      <c r="AC12" s="17"/>
      <c r="AD12" s="17" t="s">
        <v>28</v>
      </c>
      <c r="AE12" s="17" t="s">
        <v>27</v>
      </c>
      <c r="AF12" s="17"/>
      <c r="AG12" s="17" t="s">
        <v>28</v>
      </c>
      <c r="AH12" s="43"/>
      <c r="AI12" s="63">
        <f>COUNTIF(D12:AH12,"HC")</f>
        <v>5</v>
      </c>
      <c r="AJ12" s="18">
        <f>COUNTIF(D12:AH12,"M")</f>
        <v>8</v>
      </c>
      <c r="AK12" s="19">
        <f>COUNTIF(D12:AH12,"E")</f>
        <v>6</v>
      </c>
      <c r="AL12">
        <f>AI12*8+AJ12*12+AK12*12</f>
        <v>208</v>
      </c>
    </row>
    <row r="13" spans="1:38">
      <c r="A13" s="107"/>
      <c r="B13" s="33" t="s">
        <v>29</v>
      </c>
      <c r="C13" s="59" t="s">
        <v>30</v>
      </c>
      <c r="D13" s="44"/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26</v>
      </c>
      <c r="J13" s="1" t="s">
        <v>28</v>
      </c>
      <c r="K13" s="1" t="s">
        <v>27</v>
      </c>
      <c r="L13" s="1"/>
      <c r="M13" s="1"/>
      <c r="N13" s="1" t="s">
        <v>28</v>
      </c>
      <c r="O13" s="1"/>
      <c r="P13" s="1" t="s">
        <v>27</v>
      </c>
      <c r="Q13" s="1"/>
      <c r="R13" s="1" t="s">
        <v>28</v>
      </c>
      <c r="S13" s="1"/>
      <c r="T13" s="1" t="s">
        <v>27</v>
      </c>
      <c r="U13" s="1"/>
      <c r="V13" s="1" t="s">
        <v>28</v>
      </c>
      <c r="W13" s="1"/>
      <c r="X13" s="1" t="s">
        <v>27</v>
      </c>
      <c r="Y13" s="1"/>
      <c r="Z13" s="1" t="s">
        <v>28</v>
      </c>
      <c r="AA13" s="1" t="s">
        <v>28</v>
      </c>
      <c r="AB13" s="1" t="s">
        <v>27</v>
      </c>
      <c r="AC13" s="1"/>
      <c r="AD13" s="1" t="s">
        <v>28</v>
      </c>
      <c r="AE13" s="1"/>
      <c r="AF13" s="1" t="s">
        <v>27</v>
      </c>
      <c r="AG13" s="1"/>
      <c r="AH13" s="45" t="s">
        <v>28</v>
      </c>
      <c r="AI13" s="64">
        <f t="shared" ref="AI13:AI25" si="0">COUNTIF(D13:AH13,"HC")</f>
        <v>5</v>
      </c>
      <c r="AJ13" s="3">
        <f t="shared" ref="AJ13:AJ25" si="1">COUNTIF(D13:AH13,"M")</f>
        <v>8</v>
      </c>
      <c r="AK13" s="20">
        <f t="shared" ref="AK13:AK25" si="2">COUNTIF(D13:AH13,"E")</f>
        <v>6</v>
      </c>
      <c r="AL13">
        <f t="shared" ref="AL13:AL25" si="3">AI13*8+AJ13*12+AK13*12</f>
        <v>208</v>
      </c>
    </row>
    <row r="14" spans="1:38">
      <c r="A14" s="107"/>
      <c r="B14" s="33" t="s">
        <v>31</v>
      </c>
      <c r="C14" s="59" t="s">
        <v>32</v>
      </c>
      <c r="D14" s="44"/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27</v>
      </c>
      <c r="K14" s="1"/>
      <c r="L14" s="1"/>
      <c r="M14" s="1" t="s">
        <v>28</v>
      </c>
      <c r="N14" s="15"/>
      <c r="O14" s="1" t="s">
        <v>27</v>
      </c>
      <c r="P14" s="1"/>
      <c r="Q14" s="1" t="s">
        <v>28</v>
      </c>
      <c r="R14" s="15"/>
      <c r="S14" s="1" t="s">
        <v>27</v>
      </c>
      <c r="T14" s="1"/>
      <c r="U14" s="1" t="s">
        <v>28</v>
      </c>
      <c r="V14" s="15"/>
      <c r="W14" s="1" t="s">
        <v>27</v>
      </c>
      <c r="X14" s="1"/>
      <c r="Y14" s="1" t="s">
        <v>28</v>
      </c>
      <c r="Z14" s="15"/>
      <c r="AA14" s="1" t="s">
        <v>27</v>
      </c>
      <c r="AB14" s="1"/>
      <c r="AC14" s="1" t="s">
        <v>28</v>
      </c>
      <c r="AD14" s="15"/>
      <c r="AE14" s="1" t="s">
        <v>27</v>
      </c>
      <c r="AF14" s="1"/>
      <c r="AG14" s="1" t="s">
        <v>28</v>
      </c>
      <c r="AH14" s="53"/>
      <c r="AI14" s="64">
        <f t="shared" si="0"/>
        <v>5</v>
      </c>
      <c r="AJ14" s="3">
        <f t="shared" si="1"/>
        <v>6</v>
      </c>
      <c r="AK14" s="20">
        <f t="shared" si="2"/>
        <v>6</v>
      </c>
      <c r="AL14">
        <f t="shared" si="3"/>
        <v>184</v>
      </c>
    </row>
    <row r="15" spans="1:38">
      <c r="A15" s="107"/>
      <c r="B15" s="33"/>
      <c r="C15" s="69" t="s">
        <v>33</v>
      </c>
      <c r="D15" s="44"/>
      <c r="E15" s="1" t="s">
        <v>26</v>
      </c>
      <c r="F15" s="1" t="s">
        <v>26</v>
      </c>
      <c r="G15" s="1" t="s">
        <v>26</v>
      </c>
      <c r="H15" s="1" t="s">
        <v>26</v>
      </c>
      <c r="I15" s="1" t="s">
        <v>26</v>
      </c>
      <c r="J15" s="1"/>
      <c r="K15" s="1" t="s">
        <v>28</v>
      </c>
      <c r="L15" s="1" t="s">
        <v>27</v>
      </c>
      <c r="M15" s="1"/>
      <c r="N15" s="1" t="s">
        <v>27</v>
      </c>
      <c r="O15" s="1"/>
      <c r="P15" s="1" t="s">
        <v>28</v>
      </c>
      <c r="Q15" s="1"/>
      <c r="R15" s="1" t="s">
        <v>27</v>
      </c>
      <c r="S15" s="1"/>
      <c r="T15" s="1" t="s">
        <v>28</v>
      </c>
      <c r="U15" s="1"/>
      <c r="V15" s="1" t="s">
        <v>27</v>
      </c>
      <c r="W15" s="1"/>
      <c r="X15" s="1" t="s">
        <v>28</v>
      </c>
      <c r="Y15" s="1"/>
      <c r="Z15" s="1" t="s">
        <v>27</v>
      </c>
      <c r="AA15" s="1"/>
      <c r="AB15" s="1" t="s">
        <v>28</v>
      </c>
      <c r="AC15" s="1" t="s">
        <v>28</v>
      </c>
      <c r="AD15" s="1" t="s">
        <v>27</v>
      </c>
      <c r="AE15" s="1"/>
      <c r="AF15" s="1" t="s">
        <v>28</v>
      </c>
      <c r="AG15" s="1"/>
      <c r="AH15" s="45" t="s">
        <v>27</v>
      </c>
      <c r="AI15" s="64">
        <f t="shared" si="0"/>
        <v>5</v>
      </c>
      <c r="AJ15" s="3">
        <f t="shared" si="1"/>
        <v>7</v>
      </c>
      <c r="AK15" s="20">
        <f t="shared" si="2"/>
        <v>7</v>
      </c>
      <c r="AL15">
        <f t="shared" si="3"/>
        <v>208</v>
      </c>
    </row>
    <row r="16" spans="1:38">
      <c r="A16" s="108"/>
      <c r="B16" s="34"/>
      <c r="C16" s="60" t="s">
        <v>34</v>
      </c>
      <c r="D16" s="46"/>
      <c r="E16" s="21"/>
      <c r="F16" s="21"/>
      <c r="G16" s="21"/>
      <c r="H16" s="21"/>
      <c r="I16" s="21"/>
      <c r="J16" s="21"/>
      <c r="K16" s="21"/>
      <c r="L16" s="22" t="s">
        <v>26</v>
      </c>
      <c r="M16" s="22" t="s">
        <v>27</v>
      </c>
      <c r="N16" s="22"/>
      <c r="O16" s="22" t="s">
        <v>28</v>
      </c>
      <c r="P16" s="21"/>
      <c r="Q16" s="22" t="s">
        <v>27</v>
      </c>
      <c r="R16" s="22"/>
      <c r="S16" s="22" t="s">
        <v>28</v>
      </c>
      <c r="T16" s="21"/>
      <c r="U16" s="22" t="s">
        <v>27</v>
      </c>
      <c r="V16" s="22"/>
      <c r="W16" s="22" t="s">
        <v>28</v>
      </c>
      <c r="X16" s="21"/>
      <c r="Y16" s="22" t="s">
        <v>27</v>
      </c>
      <c r="Z16" s="22"/>
      <c r="AA16" s="22" t="s">
        <v>28</v>
      </c>
      <c r="AB16" s="21"/>
      <c r="AC16" s="22" t="s">
        <v>27</v>
      </c>
      <c r="AD16" s="22"/>
      <c r="AE16" s="22" t="s">
        <v>28</v>
      </c>
      <c r="AF16" s="21"/>
      <c r="AG16" s="22" t="s">
        <v>27</v>
      </c>
      <c r="AH16" s="47"/>
      <c r="AI16" s="65">
        <f t="shared" si="0"/>
        <v>1</v>
      </c>
      <c r="AJ16" s="23">
        <f t="shared" si="1"/>
        <v>5</v>
      </c>
      <c r="AK16" s="24">
        <f t="shared" si="2"/>
        <v>6</v>
      </c>
      <c r="AL16">
        <f t="shared" si="3"/>
        <v>140</v>
      </c>
    </row>
    <row r="17" spans="1:38">
      <c r="A17" s="100" t="s">
        <v>35</v>
      </c>
      <c r="B17" s="33" t="s">
        <v>36</v>
      </c>
      <c r="C17" s="59" t="s">
        <v>37</v>
      </c>
      <c r="D17" s="44"/>
      <c r="E17" s="1" t="s">
        <v>26</v>
      </c>
      <c r="F17" s="1" t="s">
        <v>26</v>
      </c>
      <c r="G17" s="1" t="s">
        <v>26</v>
      </c>
      <c r="H17" s="1" t="s">
        <v>26</v>
      </c>
      <c r="I17" s="1" t="s">
        <v>26</v>
      </c>
      <c r="J17" s="1" t="s">
        <v>27</v>
      </c>
      <c r="K17" s="1" t="s">
        <v>27</v>
      </c>
      <c r="L17" s="1"/>
      <c r="M17" s="1" t="s">
        <v>28</v>
      </c>
      <c r="N17" s="1" t="s">
        <v>27</v>
      </c>
      <c r="O17" s="1"/>
      <c r="P17" s="1"/>
      <c r="Q17" s="1" t="s">
        <v>28</v>
      </c>
      <c r="R17" s="1" t="s">
        <v>27</v>
      </c>
      <c r="S17" s="1"/>
      <c r="T17" s="1"/>
      <c r="U17" s="1" t="s">
        <v>28</v>
      </c>
      <c r="V17" s="1" t="s">
        <v>27</v>
      </c>
      <c r="W17" s="1"/>
      <c r="X17" s="1"/>
      <c r="Y17" s="1" t="s">
        <v>28</v>
      </c>
      <c r="Z17" s="1" t="s">
        <v>27</v>
      </c>
      <c r="AA17" s="1"/>
      <c r="AB17" s="1"/>
      <c r="AC17" s="1" t="s">
        <v>28</v>
      </c>
      <c r="AD17" s="1" t="s">
        <v>27</v>
      </c>
      <c r="AE17" s="1"/>
      <c r="AF17" s="1"/>
      <c r="AG17" s="1" t="s">
        <v>28</v>
      </c>
      <c r="AH17" s="1" t="s">
        <v>27</v>
      </c>
      <c r="AI17" s="64">
        <f>COUNTIF(D17:AH17,"HC")</f>
        <v>5</v>
      </c>
      <c r="AJ17" s="3">
        <f>COUNTIF(D17:AH17,"M")</f>
        <v>6</v>
      </c>
      <c r="AK17" s="3">
        <f>COUNTIF(D17:AH17,"E")</f>
        <v>8</v>
      </c>
      <c r="AL17">
        <f>AI17*8+AJ17*12+AK17*12</f>
        <v>208</v>
      </c>
    </row>
    <row r="18" spans="1:38">
      <c r="A18" s="101"/>
      <c r="B18" s="35" t="s">
        <v>38</v>
      </c>
      <c r="C18" s="61" t="s">
        <v>39</v>
      </c>
      <c r="D18" s="48"/>
      <c r="E18" s="26" t="s">
        <v>26</v>
      </c>
      <c r="F18" s="26" t="s">
        <v>26</v>
      </c>
      <c r="G18" s="26" t="s">
        <v>26</v>
      </c>
      <c r="H18" s="26" t="s">
        <v>26</v>
      </c>
      <c r="I18" s="26" t="s">
        <v>26</v>
      </c>
      <c r="J18" s="1" t="s">
        <v>28</v>
      </c>
      <c r="K18" s="15"/>
      <c r="L18" s="1" t="s">
        <v>27</v>
      </c>
      <c r="M18" s="1"/>
      <c r="N18" s="1" t="s">
        <v>28</v>
      </c>
      <c r="O18" s="15"/>
      <c r="P18" s="1" t="s">
        <v>27</v>
      </c>
      <c r="Q18" s="1"/>
      <c r="R18" s="1" t="s">
        <v>28</v>
      </c>
      <c r="S18" s="15"/>
      <c r="T18" s="1" t="s">
        <v>27</v>
      </c>
      <c r="U18" s="1"/>
      <c r="V18" s="1" t="s">
        <v>28</v>
      </c>
      <c r="W18" s="15"/>
      <c r="X18" s="1" t="s">
        <v>27</v>
      </c>
      <c r="Y18" s="1"/>
      <c r="Z18" s="1" t="s">
        <v>28</v>
      </c>
      <c r="AA18" s="15"/>
      <c r="AB18" s="1" t="s">
        <v>27</v>
      </c>
      <c r="AC18" s="26"/>
      <c r="AD18" s="1" t="s">
        <v>28</v>
      </c>
      <c r="AE18" s="15"/>
      <c r="AF18" s="1" t="s">
        <v>27</v>
      </c>
      <c r="AG18" s="26"/>
      <c r="AH18" s="26" t="s">
        <v>28</v>
      </c>
      <c r="AI18" s="66">
        <f>COUNTIF(D18:AH18,"HC")</f>
        <v>5</v>
      </c>
      <c r="AJ18" s="27">
        <f>COUNTIF(D18:AH18,"M")</f>
        <v>7</v>
      </c>
      <c r="AK18" s="27">
        <f>COUNTIF(D18:AH18,"E")</f>
        <v>6</v>
      </c>
      <c r="AL18">
        <f>AI18*8+AJ18*12+AK18*12</f>
        <v>196</v>
      </c>
    </row>
    <row r="19" spans="1:38">
      <c r="A19" s="101"/>
      <c r="B19" s="33" t="s">
        <v>40</v>
      </c>
      <c r="C19" s="69" t="s">
        <v>41</v>
      </c>
      <c r="D19" s="44"/>
      <c r="E19" s="1" t="s">
        <v>26</v>
      </c>
      <c r="F19" s="1" t="s">
        <v>26</v>
      </c>
      <c r="G19" s="1"/>
      <c r="H19" s="1"/>
      <c r="I19" s="1"/>
      <c r="J19" s="1" t="s">
        <v>28</v>
      </c>
      <c r="K19" s="1" t="s">
        <v>28</v>
      </c>
      <c r="L19" s="1" t="s">
        <v>27</v>
      </c>
      <c r="M19" s="1"/>
      <c r="N19" s="1" t="s">
        <v>28</v>
      </c>
      <c r="O19" s="1" t="s">
        <v>28</v>
      </c>
      <c r="P19" s="1" t="s">
        <v>27</v>
      </c>
      <c r="Q19" s="1"/>
      <c r="R19" s="1"/>
      <c r="S19" s="1" t="s">
        <v>28</v>
      </c>
      <c r="T19" s="1" t="s">
        <v>27</v>
      </c>
      <c r="U19" s="1"/>
      <c r="V19" s="1" t="s">
        <v>28</v>
      </c>
      <c r="W19" s="1" t="s">
        <v>28</v>
      </c>
      <c r="X19" s="1" t="s">
        <v>27</v>
      </c>
      <c r="Y19" s="1"/>
      <c r="Z19" s="1"/>
      <c r="AA19" s="1" t="s">
        <v>28</v>
      </c>
      <c r="AB19" s="1" t="s">
        <v>27</v>
      </c>
      <c r="AC19" s="1"/>
      <c r="AD19" s="1"/>
      <c r="AE19" s="1" t="s">
        <v>28</v>
      </c>
      <c r="AF19" s="1" t="s">
        <v>27</v>
      </c>
      <c r="AG19" s="1"/>
      <c r="AH19" s="1" t="s">
        <v>28</v>
      </c>
      <c r="AI19" s="64">
        <f t="shared" si="0"/>
        <v>2</v>
      </c>
      <c r="AJ19" s="3">
        <f t="shared" si="1"/>
        <v>10</v>
      </c>
      <c r="AK19" s="3">
        <f t="shared" si="2"/>
        <v>6</v>
      </c>
      <c r="AL19">
        <f t="shared" si="3"/>
        <v>208</v>
      </c>
    </row>
    <row r="20" spans="1:38">
      <c r="A20" s="101"/>
      <c r="B20" s="33" t="s">
        <v>42</v>
      </c>
      <c r="C20" s="59" t="s">
        <v>43</v>
      </c>
      <c r="D20" s="44"/>
      <c r="E20" s="1" t="s">
        <v>26</v>
      </c>
      <c r="F20" s="1" t="s">
        <v>26</v>
      </c>
      <c r="G20" s="1" t="s">
        <v>26</v>
      </c>
      <c r="H20" s="1" t="s">
        <v>26</v>
      </c>
      <c r="I20" s="1" t="s">
        <v>27</v>
      </c>
      <c r="J20" s="1"/>
      <c r="K20" s="1" t="s">
        <v>28</v>
      </c>
      <c r="L20" s="1" t="s">
        <v>28</v>
      </c>
      <c r="M20" s="1" t="s">
        <v>27</v>
      </c>
      <c r="N20" s="1"/>
      <c r="O20" s="1"/>
      <c r="P20" s="1" t="s">
        <v>28</v>
      </c>
      <c r="Q20" s="1" t="s">
        <v>27</v>
      </c>
      <c r="R20" s="1"/>
      <c r="S20" s="1" t="s">
        <v>26</v>
      </c>
      <c r="T20" s="1" t="s">
        <v>28</v>
      </c>
      <c r="U20" s="1" t="s">
        <v>27</v>
      </c>
      <c r="V20" s="1"/>
      <c r="W20" s="1"/>
      <c r="X20" s="1" t="s">
        <v>28</v>
      </c>
      <c r="Y20" s="1" t="s">
        <v>27</v>
      </c>
      <c r="Z20" s="1"/>
      <c r="AA20" s="1"/>
      <c r="AB20" s="1" t="s">
        <v>28</v>
      </c>
      <c r="AC20" s="1" t="s">
        <v>27</v>
      </c>
      <c r="AD20" s="1"/>
      <c r="AE20" s="1"/>
      <c r="AF20" s="1" t="s">
        <v>28</v>
      </c>
      <c r="AG20" s="1" t="s">
        <v>27</v>
      </c>
      <c r="AH20" s="1"/>
      <c r="AI20" s="64">
        <f>COUNTIF(D20:AH20,"HC")</f>
        <v>5</v>
      </c>
      <c r="AJ20" s="3">
        <f>COUNTIF(D20:AH20,"M")</f>
        <v>7</v>
      </c>
      <c r="AK20" s="3">
        <f>COUNTIF(D20:AH20,"E")</f>
        <v>7</v>
      </c>
      <c r="AL20">
        <f>AI20*8+AJ20*12+AK20*12</f>
        <v>208</v>
      </c>
    </row>
    <row r="21" spans="1:38">
      <c r="A21" s="102"/>
      <c r="B21" s="36" t="s">
        <v>44</v>
      </c>
      <c r="C21" s="70" t="s">
        <v>45</v>
      </c>
      <c r="D21" s="49"/>
      <c r="E21" s="30" t="s">
        <v>26</v>
      </c>
      <c r="F21" s="30" t="s">
        <v>26</v>
      </c>
      <c r="G21" s="30"/>
      <c r="H21" s="30"/>
      <c r="I21" s="30" t="s">
        <v>27</v>
      </c>
      <c r="J21" s="30" t="s">
        <v>27</v>
      </c>
      <c r="K21" s="30"/>
      <c r="L21" s="30" t="s">
        <v>28</v>
      </c>
      <c r="M21" s="30" t="s">
        <v>27</v>
      </c>
      <c r="N21" s="30"/>
      <c r="O21" s="30" t="s">
        <v>28</v>
      </c>
      <c r="P21" s="30" t="s">
        <v>28</v>
      </c>
      <c r="Q21" s="30" t="s">
        <v>27</v>
      </c>
      <c r="R21" s="30"/>
      <c r="S21" s="30"/>
      <c r="T21" s="30" t="s">
        <v>28</v>
      </c>
      <c r="U21" s="30" t="s">
        <v>27</v>
      </c>
      <c r="V21" s="30"/>
      <c r="W21" s="30" t="s">
        <v>28</v>
      </c>
      <c r="X21" s="30" t="s">
        <v>28</v>
      </c>
      <c r="Y21" s="30" t="s">
        <v>27</v>
      </c>
      <c r="Z21" s="30"/>
      <c r="AA21" s="30"/>
      <c r="AB21" s="30" t="s">
        <v>28</v>
      </c>
      <c r="AC21" s="30" t="s">
        <v>27</v>
      </c>
      <c r="AD21" s="30"/>
      <c r="AE21" s="30"/>
      <c r="AF21" s="30" t="s">
        <v>28</v>
      </c>
      <c r="AG21" s="30" t="s">
        <v>27</v>
      </c>
      <c r="AH21" s="30"/>
      <c r="AI21" s="67">
        <f>COUNTIF(D21:AH21,"HC")</f>
        <v>2</v>
      </c>
      <c r="AJ21" s="31">
        <f>COUNTIF(D21:AH21,"M")</f>
        <v>8</v>
      </c>
      <c r="AK21" s="31">
        <f>COUNTIF(D21:AH21,"E")</f>
        <v>8</v>
      </c>
      <c r="AL21">
        <f>AI21*8+AJ21*12+AK21*12</f>
        <v>208</v>
      </c>
    </row>
    <row r="22" spans="1:38">
      <c r="A22" s="103" t="s">
        <v>46</v>
      </c>
      <c r="B22" s="37"/>
      <c r="C22" s="58" t="s">
        <v>47</v>
      </c>
      <c r="D22" s="50"/>
      <c r="E22" s="28" t="s">
        <v>26</v>
      </c>
      <c r="F22" s="28" t="s">
        <v>26</v>
      </c>
      <c r="G22" s="28" t="s">
        <v>26</v>
      </c>
      <c r="H22" s="28" t="s">
        <v>26</v>
      </c>
      <c r="I22" s="28" t="s">
        <v>27</v>
      </c>
      <c r="J22" s="28"/>
      <c r="K22" s="28"/>
      <c r="L22" s="28" t="s">
        <v>28</v>
      </c>
      <c r="M22" s="28" t="s">
        <v>27</v>
      </c>
      <c r="N22" s="28"/>
      <c r="O22" s="28"/>
      <c r="P22" s="28" t="s">
        <v>28</v>
      </c>
      <c r="Q22" s="28" t="s">
        <v>27</v>
      </c>
      <c r="R22" s="28"/>
      <c r="S22" s="28"/>
      <c r="T22" s="28" t="s">
        <v>28</v>
      </c>
      <c r="U22" s="28" t="s">
        <v>27</v>
      </c>
      <c r="V22" s="28"/>
      <c r="W22" s="28"/>
      <c r="X22" s="28" t="s">
        <v>28</v>
      </c>
      <c r="Y22" s="28" t="s">
        <v>27</v>
      </c>
      <c r="Z22" s="28"/>
      <c r="AA22" s="28"/>
      <c r="AB22" s="28" t="s">
        <v>28</v>
      </c>
      <c r="AC22" s="28" t="s">
        <v>27</v>
      </c>
      <c r="AD22" s="28"/>
      <c r="AE22" s="28"/>
      <c r="AF22" s="28" t="s">
        <v>28</v>
      </c>
      <c r="AG22" s="28" t="s">
        <v>27</v>
      </c>
      <c r="AH22" s="51"/>
      <c r="AI22" s="63">
        <f t="shared" si="0"/>
        <v>4</v>
      </c>
      <c r="AJ22" s="18">
        <f t="shared" si="1"/>
        <v>6</v>
      </c>
      <c r="AK22" s="19">
        <f t="shared" si="2"/>
        <v>7</v>
      </c>
      <c r="AL22">
        <f t="shared" si="3"/>
        <v>188</v>
      </c>
    </row>
    <row r="23" spans="1:38">
      <c r="A23" s="104"/>
      <c r="B23" s="38"/>
      <c r="C23" s="59" t="s">
        <v>48</v>
      </c>
      <c r="D23" s="52"/>
      <c r="E23" s="15" t="s">
        <v>26</v>
      </c>
      <c r="F23" s="15" t="s">
        <v>26</v>
      </c>
      <c r="G23" s="15" t="s">
        <v>26</v>
      </c>
      <c r="H23" s="15" t="s">
        <v>26</v>
      </c>
      <c r="I23" s="15" t="s">
        <v>26</v>
      </c>
      <c r="J23" s="15" t="s">
        <v>27</v>
      </c>
      <c r="K23" s="15"/>
      <c r="L23" s="15"/>
      <c r="M23" s="15" t="s">
        <v>28</v>
      </c>
      <c r="N23" s="15" t="s">
        <v>27</v>
      </c>
      <c r="O23" s="15"/>
      <c r="P23" s="15"/>
      <c r="Q23" s="15" t="s">
        <v>28</v>
      </c>
      <c r="R23" s="15" t="s">
        <v>27</v>
      </c>
      <c r="S23" s="15"/>
      <c r="T23" s="15"/>
      <c r="U23" s="15" t="s">
        <v>28</v>
      </c>
      <c r="V23" s="15" t="s">
        <v>27</v>
      </c>
      <c r="W23" s="15"/>
      <c r="X23" s="15"/>
      <c r="Y23" s="15" t="s">
        <v>28</v>
      </c>
      <c r="Z23" s="15" t="s">
        <v>27</v>
      </c>
      <c r="AA23" s="15"/>
      <c r="AB23" s="15"/>
      <c r="AC23" s="15" t="s">
        <v>28</v>
      </c>
      <c r="AD23" s="15" t="s">
        <v>27</v>
      </c>
      <c r="AE23" s="15"/>
      <c r="AF23" s="15"/>
      <c r="AG23" s="15" t="s">
        <v>28</v>
      </c>
      <c r="AH23" s="53" t="s">
        <v>27</v>
      </c>
      <c r="AI23" s="64">
        <f t="shared" si="0"/>
        <v>5</v>
      </c>
      <c r="AJ23" s="3">
        <f t="shared" si="1"/>
        <v>6</v>
      </c>
      <c r="AK23" s="20">
        <f t="shared" si="2"/>
        <v>7</v>
      </c>
      <c r="AL23">
        <f t="shared" si="3"/>
        <v>196</v>
      </c>
    </row>
    <row r="24" spans="1:38">
      <c r="A24" s="104"/>
      <c r="B24" s="39"/>
      <c r="C24" s="59" t="s">
        <v>49</v>
      </c>
      <c r="D24" s="54"/>
      <c r="E24" s="15" t="s">
        <v>26</v>
      </c>
      <c r="F24" s="15" t="s">
        <v>26</v>
      </c>
      <c r="G24" s="15" t="s">
        <v>26</v>
      </c>
      <c r="H24" s="15" t="s">
        <v>26</v>
      </c>
      <c r="I24" s="15" t="s">
        <v>26</v>
      </c>
      <c r="J24" s="16" t="s">
        <v>28</v>
      </c>
      <c r="K24" s="16" t="s">
        <v>27</v>
      </c>
      <c r="L24" s="16"/>
      <c r="M24" s="16"/>
      <c r="N24" s="16" t="s">
        <v>28</v>
      </c>
      <c r="O24" s="16" t="s">
        <v>27</v>
      </c>
      <c r="P24" s="16"/>
      <c r="Q24" s="16"/>
      <c r="R24" s="16" t="s">
        <v>28</v>
      </c>
      <c r="S24" s="16" t="s">
        <v>27</v>
      </c>
      <c r="T24" s="16"/>
      <c r="U24" s="16"/>
      <c r="V24" s="16" t="s">
        <v>28</v>
      </c>
      <c r="W24" s="16" t="s">
        <v>27</v>
      </c>
      <c r="X24" s="16"/>
      <c r="Y24" s="16"/>
      <c r="Z24" s="16" t="s">
        <v>28</v>
      </c>
      <c r="AA24" s="16" t="s">
        <v>27</v>
      </c>
      <c r="AB24" s="16"/>
      <c r="AC24" s="16"/>
      <c r="AD24" s="16" t="s">
        <v>28</v>
      </c>
      <c r="AE24" s="16" t="s">
        <v>27</v>
      </c>
      <c r="AF24" s="16"/>
      <c r="AG24" s="16"/>
      <c r="AH24" s="55" t="s">
        <v>28</v>
      </c>
      <c r="AI24" s="64">
        <f t="shared" si="0"/>
        <v>5</v>
      </c>
      <c r="AJ24" s="3">
        <f t="shared" si="1"/>
        <v>7</v>
      </c>
      <c r="AK24" s="20">
        <f t="shared" si="2"/>
        <v>6</v>
      </c>
      <c r="AL24">
        <f t="shared" si="3"/>
        <v>196</v>
      </c>
    </row>
    <row r="25" spans="1:38">
      <c r="A25" s="105"/>
      <c r="B25" s="40"/>
      <c r="C25" s="60" t="s">
        <v>50</v>
      </c>
      <c r="D25" s="56"/>
      <c r="E25" s="21" t="s">
        <v>26</v>
      </c>
      <c r="F25" s="21" t="s">
        <v>26</v>
      </c>
      <c r="G25" s="21" t="s">
        <v>26</v>
      </c>
      <c r="H25" s="21" t="s">
        <v>26</v>
      </c>
      <c r="I25" s="21" t="s">
        <v>26</v>
      </c>
      <c r="J25" s="29"/>
      <c r="K25" s="29" t="s">
        <v>28</v>
      </c>
      <c r="L25" s="29" t="s">
        <v>27</v>
      </c>
      <c r="M25" s="29"/>
      <c r="N25" s="29"/>
      <c r="O25" s="29" t="s">
        <v>28</v>
      </c>
      <c r="P25" s="29" t="s">
        <v>27</v>
      </c>
      <c r="Q25" s="29"/>
      <c r="R25" s="29"/>
      <c r="S25" s="29" t="s">
        <v>28</v>
      </c>
      <c r="T25" s="29" t="s">
        <v>27</v>
      </c>
      <c r="U25" s="29"/>
      <c r="V25" s="29"/>
      <c r="W25" s="29" t="s">
        <v>28</v>
      </c>
      <c r="X25" s="29" t="s">
        <v>27</v>
      </c>
      <c r="Y25" s="29"/>
      <c r="Z25" s="29"/>
      <c r="AA25" s="29" t="s">
        <v>28</v>
      </c>
      <c r="AB25" s="29" t="s">
        <v>27</v>
      </c>
      <c r="AC25" s="29"/>
      <c r="AD25" s="29"/>
      <c r="AE25" s="29" t="s">
        <v>28</v>
      </c>
      <c r="AF25" s="29" t="s">
        <v>27</v>
      </c>
      <c r="AG25" s="29"/>
      <c r="AH25" s="57"/>
      <c r="AI25" s="65">
        <f t="shared" si="0"/>
        <v>5</v>
      </c>
      <c r="AJ25" s="23">
        <f t="shared" si="1"/>
        <v>6</v>
      </c>
      <c r="AK25" s="24">
        <f t="shared" si="2"/>
        <v>6</v>
      </c>
      <c r="AL25">
        <f t="shared" si="3"/>
        <v>184</v>
      </c>
    </row>
    <row r="26" spans="1:38">
      <c r="C26" s="76" t="s">
        <v>26</v>
      </c>
      <c r="D26">
        <f>COUNTIF(D12:D21,"HC")</f>
        <v>0</v>
      </c>
      <c r="E26">
        <f t="shared" ref="E26:AH26" si="4">COUNTIF(E12:E21,"HC")</f>
        <v>9</v>
      </c>
      <c r="F26">
        <f t="shared" si="4"/>
        <v>9</v>
      </c>
      <c r="G26">
        <f t="shared" si="4"/>
        <v>7</v>
      </c>
      <c r="H26">
        <f t="shared" si="4"/>
        <v>7</v>
      </c>
      <c r="I26">
        <f t="shared" si="4"/>
        <v>5</v>
      </c>
      <c r="J26">
        <f t="shared" si="4"/>
        <v>0</v>
      </c>
      <c r="K26">
        <f t="shared" si="4"/>
        <v>0</v>
      </c>
      <c r="L26">
        <f t="shared" si="4"/>
        <v>1</v>
      </c>
      <c r="M26">
        <f t="shared" si="4"/>
        <v>0</v>
      </c>
      <c r="N26">
        <f t="shared" si="4"/>
        <v>0</v>
      </c>
      <c r="O26">
        <f t="shared" si="4"/>
        <v>0</v>
      </c>
      <c r="P26">
        <f t="shared" si="4"/>
        <v>0</v>
      </c>
      <c r="Q26">
        <f t="shared" si="4"/>
        <v>0</v>
      </c>
      <c r="R26">
        <f t="shared" si="4"/>
        <v>0</v>
      </c>
      <c r="S26">
        <f t="shared" si="4"/>
        <v>1</v>
      </c>
      <c r="T26">
        <f t="shared" si="4"/>
        <v>0</v>
      </c>
      <c r="U26">
        <f t="shared" si="4"/>
        <v>0</v>
      </c>
      <c r="V26">
        <f t="shared" si="4"/>
        <v>0</v>
      </c>
      <c r="W26">
        <f t="shared" si="4"/>
        <v>0</v>
      </c>
      <c r="X26">
        <f t="shared" si="4"/>
        <v>0</v>
      </c>
      <c r="Y26">
        <f t="shared" si="4"/>
        <v>0</v>
      </c>
      <c r="Z26">
        <f t="shared" si="4"/>
        <v>1</v>
      </c>
      <c r="AA26">
        <f t="shared" si="4"/>
        <v>0</v>
      </c>
      <c r="AB26">
        <f t="shared" si="4"/>
        <v>0</v>
      </c>
      <c r="AC26">
        <f t="shared" si="4"/>
        <v>0</v>
      </c>
      <c r="AD26">
        <f t="shared" si="4"/>
        <v>0</v>
      </c>
      <c r="AE26">
        <f t="shared" si="4"/>
        <v>0</v>
      </c>
      <c r="AF26">
        <f t="shared" si="4"/>
        <v>0</v>
      </c>
      <c r="AG26">
        <f t="shared" si="4"/>
        <v>0</v>
      </c>
      <c r="AH26">
        <f t="shared" si="4"/>
        <v>0</v>
      </c>
    </row>
    <row r="27" spans="1:38">
      <c r="C27" s="76" t="s">
        <v>28</v>
      </c>
      <c r="D27">
        <f>COUNTIF(D12:D21,"M")</f>
        <v>0</v>
      </c>
      <c r="E27">
        <f t="shared" ref="E27:AH27" si="5">COUNTIF(E12:E21,"M")</f>
        <v>0</v>
      </c>
      <c r="F27">
        <f t="shared" si="5"/>
        <v>0</v>
      </c>
      <c r="G27">
        <f t="shared" si="5"/>
        <v>0</v>
      </c>
      <c r="H27">
        <f t="shared" si="5"/>
        <v>0</v>
      </c>
      <c r="I27">
        <f t="shared" si="5"/>
        <v>0</v>
      </c>
      <c r="J27">
        <f t="shared" si="5"/>
        <v>3</v>
      </c>
      <c r="K27">
        <f t="shared" si="5"/>
        <v>3</v>
      </c>
      <c r="L27">
        <f t="shared" si="5"/>
        <v>3</v>
      </c>
      <c r="M27">
        <f t="shared" si="5"/>
        <v>3</v>
      </c>
      <c r="N27">
        <f t="shared" si="5"/>
        <v>3</v>
      </c>
      <c r="O27">
        <f t="shared" si="5"/>
        <v>3</v>
      </c>
      <c r="P27">
        <f t="shared" si="5"/>
        <v>3</v>
      </c>
      <c r="Q27">
        <f t="shared" si="5"/>
        <v>3</v>
      </c>
      <c r="R27">
        <f t="shared" si="5"/>
        <v>3</v>
      </c>
      <c r="S27">
        <f t="shared" si="5"/>
        <v>2</v>
      </c>
      <c r="T27">
        <f t="shared" si="5"/>
        <v>3</v>
      </c>
      <c r="U27">
        <f t="shared" si="5"/>
        <v>3</v>
      </c>
      <c r="V27">
        <f t="shared" si="5"/>
        <v>3</v>
      </c>
      <c r="W27">
        <f t="shared" si="5"/>
        <v>3</v>
      </c>
      <c r="X27">
        <f t="shared" si="5"/>
        <v>3</v>
      </c>
      <c r="Y27">
        <f t="shared" si="5"/>
        <v>3</v>
      </c>
      <c r="Z27">
        <f t="shared" si="5"/>
        <v>2</v>
      </c>
      <c r="AA27">
        <f t="shared" si="5"/>
        <v>3</v>
      </c>
      <c r="AB27">
        <f t="shared" si="5"/>
        <v>3</v>
      </c>
      <c r="AC27">
        <f t="shared" si="5"/>
        <v>3</v>
      </c>
      <c r="AD27">
        <f t="shared" si="5"/>
        <v>3</v>
      </c>
      <c r="AE27">
        <f t="shared" si="5"/>
        <v>2</v>
      </c>
      <c r="AF27">
        <f t="shared" si="5"/>
        <v>3</v>
      </c>
      <c r="AG27">
        <f t="shared" si="5"/>
        <v>3</v>
      </c>
      <c r="AH27">
        <f t="shared" si="5"/>
        <v>3</v>
      </c>
    </row>
    <row r="28" spans="1:38">
      <c r="C28" s="76" t="s">
        <v>27</v>
      </c>
      <c r="D28">
        <f>COUNTIF(D12:D21,"E")</f>
        <v>0</v>
      </c>
      <c r="E28">
        <f t="shared" ref="E28:AH28" si="6">COUNTIF(E12:E21,"E")</f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3</v>
      </c>
      <c r="J28">
        <f t="shared" si="6"/>
        <v>3</v>
      </c>
      <c r="K28">
        <f t="shared" si="6"/>
        <v>2</v>
      </c>
      <c r="L28">
        <f t="shared" si="6"/>
        <v>3</v>
      </c>
      <c r="M28">
        <f t="shared" si="6"/>
        <v>3</v>
      </c>
      <c r="N28">
        <f t="shared" si="6"/>
        <v>2</v>
      </c>
      <c r="O28">
        <f t="shared" si="6"/>
        <v>2</v>
      </c>
      <c r="P28">
        <f t="shared" si="6"/>
        <v>3</v>
      </c>
      <c r="Q28">
        <f t="shared" si="6"/>
        <v>3</v>
      </c>
      <c r="R28">
        <f t="shared" si="6"/>
        <v>2</v>
      </c>
      <c r="S28">
        <f t="shared" si="6"/>
        <v>2</v>
      </c>
      <c r="T28">
        <f t="shared" si="6"/>
        <v>3</v>
      </c>
      <c r="U28">
        <f t="shared" si="6"/>
        <v>3</v>
      </c>
      <c r="V28">
        <f t="shared" si="6"/>
        <v>2</v>
      </c>
      <c r="W28">
        <f t="shared" si="6"/>
        <v>2</v>
      </c>
      <c r="X28">
        <f t="shared" si="6"/>
        <v>3</v>
      </c>
      <c r="Y28">
        <f t="shared" si="6"/>
        <v>3</v>
      </c>
      <c r="Z28">
        <f t="shared" si="6"/>
        <v>2</v>
      </c>
      <c r="AA28">
        <f t="shared" si="6"/>
        <v>2</v>
      </c>
      <c r="AB28">
        <f t="shared" si="6"/>
        <v>3</v>
      </c>
      <c r="AC28">
        <f t="shared" si="6"/>
        <v>3</v>
      </c>
      <c r="AD28">
        <f t="shared" si="6"/>
        <v>2</v>
      </c>
      <c r="AE28">
        <f t="shared" si="6"/>
        <v>2</v>
      </c>
      <c r="AF28">
        <f t="shared" si="6"/>
        <v>3</v>
      </c>
      <c r="AG28">
        <f t="shared" si="6"/>
        <v>3</v>
      </c>
      <c r="AH28">
        <f t="shared" si="6"/>
        <v>2</v>
      </c>
    </row>
    <row r="29" spans="1:38">
      <c r="A29" s="5" t="s">
        <v>51</v>
      </c>
    </row>
    <row r="30" spans="1:38">
      <c r="A30" s="2" t="s">
        <v>52</v>
      </c>
      <c r="B30" s="2" t="s">
        <v>53</v>
      </c>
    </row>
    <row r="31" spans="1:38">
      <c r="A31" s="2" t="s">
        <v>54</v>
      </c>
      <c r="B31" s="2" t="s">
        <v>55</v>
      </c>
    </row>
    <row r="32" spans="1:38">
      <c r="A32" s="2" t="s">
        <v>56</v>
      </c>
      <c r="B32" s="2" t="s">
        <v>57</v>
      </c>
    </row>
    <row r="33" spans="19:35">
      <c r="AA33" s="79" t="s">
        <v>58</v>
      </c>
      <c r="AB33" s="79"/>
      <c r="AC33" s="79"/>
      <c r="AD33" s="79"/>
      <c r="AE33" s="79"/>
      <c r="AF33" s="79"/>
      <c r="AG33" s="79"/>
      <c r="AH33" s="79"/>
      <c r="AI33" s="79"/>
    </row>
    <row r="34" spans="19:35">
      <c r="AA34" s="2"/>
      <c r="AB34" s="2"/>
      <c r="AC34" s="2"/>
      <c r="AD34" s="2"/>
      <c r="AE34" s="2"/>
      <c r="AF34" s="2"/>
      <c r="AG34" s="2"/>
      <c r="AH34" s="2"/>
      <c r="AI34" s="2"/>
    </row>
    <row r="35" spans="19:35">
      <c r="S35" s="4"/>
      <c r="T35" s="77" t="s">
        <v>59</v>
      </c>
      <c r="U35" s="77"/>
      <c r="V35" s="77"/>
      <c r="W35" s="77"/>
      <c r="X35" s="4"/>
      <c r="AA35" s="2"/>
      <c r="AB35" s="2"/>
      <c r="AC35" s="2"/>
      <c r="AD35" s="77" t="s">
        <v>60</v>
      </c>
      <c r="AE35" s="77"/>
      <c r="AF35" s="77"/>
      <c r="AG35" s="77"/>
      <c r="AH35" s="2"/>
      <c r="AI35" s="2"/>
    </row>
    <row r="36" spans="19:35">
      <c r="S36" s="77" t="s">
        <v>61</v>
      </c>
      <c r="T36" s="77"/>
      <c r="U36" s="77"/>
      <c r="V36" s="77"/>
      <c r="W36" s="77"/>
      <c r="X36" s="77"/>
      <c r="AA36" s="2"/>
      <c r="AB36" s="2"/>
      <c r="AC36" s="2"/>
      <c r="AD36" s="2"/>
      <c r="AE36" s="2"/>
      <c r="AF36" s="2"/>
      <c r="AG36" s="2"/>
      <c r="AH36" s="2"/>
      <c r="AI36" s="2"/>
    </row>
    <row r="37" spans="19:35">
      <c r="S37" s="78"/>
      <c r="T37" s="78"/>
      <c r="U37" s="78"/>
      <c r="V37" s="78"/>
      <c r="W37" s="78"/>
      <c r="X37" s="78"/>
      <c r="Y37" s="78"/>
      <c r="AA37" s="2"/>
      <c r="AB37" s="2"/>
      <c r="AC37" s="77" t="s">
        <v>62</v>
      </c>
      <c r="AD37" s="77"/>
      <c r="AE37" s="77"/>
      <c r="AF37" s="77"/>
      <c r="AG37" s="77"/>
      <c r="AH37" s="77"/>
      <c r="AI37" s="2"/>
    </row>
    <row r="38" spans="19:35">
      <c r="S38" s="78"/>
      <c r="T38" s="78"/>
      <c r="U38" s="78"/>
      <c r="V38" s="78"/>
      <c r="W38" s="78"/>
      <c r="X38" s="78"/>
      <c r="Y38" s="78"/>
      <c r="AA38" s="2"/>
      <c r="AB38" s="2"/>
      <c r="AC38" s="77"/>
      <c r="AD38" s="77"/>
      <c r="AE38" s="77"/>
      <c r="AF38" s="77"/>
      <c r="AG38" s="77"/>
      <c r="AH38" s="77"/>
      <c r="AI38" s="2"/>
    </row>
    <row r="39" spans="19:35">
      <c r="S39" s="78"/>
      <c r="T39" s="78"/>
      <c r="U39" s="78"/>
      <c r="V39" s="78"/>
      <c r="W39" s="78"/>
      <c r="X39" s="78"/>
      <c r="Y39" s="78"/>
      <c r="AA39" s="2"/>
      <c r="AB39" s="2"/>
      <c r="AC39" s="77"/>
      <c r="AD39" s="77"/>
      <c r="AE39" s="77"/>
      <c r="AF39" s="77"/>
      <c r="AG39" s="77"/>
      <c r="AH39" s="77"/>
      <c r="AI39" s="2"/>
    </row>
    <row r="40" spans="19:35">
      <c r="S40" s="78"/>
      <c r="T40" s="78"/>
      <c r="U40" s="78"/>
      <c r="V40" s="78"/>
      <c r="W40" s="78"/>
      <c r="X40" s="78"/>
      <c r="Y40" s="78"/>
      <c r="AA40" s="2"/>
      <c r="AB40" s="2"/>
      <c r="AC40" s="77"/>
      <c r="AD40" s="77"/>
      <c r="AE40" s="77"/>
      <c r="AF40" s="77"/>
      <c r="AG40" s="77"/>
      <c r="AH40" s="77"/>
      <c r="AI40" s="2"/>
    </row>
    <row r="41" spans="19:35">
      <c r="S41" s="78"/>
      <c r="T41" s="78"/>
      <c r="U41" s="78"/>
      <c r="V41" s="78"/>
      <c r="W41" s="78"/>
      <c r="X41" s="78"/>
      <c r="Y41" s="78"/>
      <c r="AA41" s="2"/>
      <c r="AB41" s="2"/>
      <c r="AC41" s="77"/>
      <c r="AD41" s="77"/>
      <c r="AE41" s="77"/>
      <c r="AF41" s="77"/>
      <c r="AG41" s="77"/>
      <c r="AH41" s="77"/>
      <c r="AI41" s="2"/>
    </row>
    <row r="42" spans="19:35">
      <c r="S42" s="78"/>
      <c r="T42" s="78"/>
      <c r="U42" s="78"/>
      <c r="V42" s="78"/>
      <c r="W42" s="78"/>
      <c r="X42" s="78"/>
      <c r="Y42" s="78"/>
      <c r="AA42" s="2"/>
      <c r="AB42" s="2"/>
      <c r="AC42" s="77"/>
      <c r="AD42" s="77"/>
      <c r="AE42" s="77"/>
      <c r="AF42" s="77"/>
      <c r="AG42" s="77"/>
      <c r="AH42" s="77"/>
      <c r="AI42" s="2"/>
    </row>
  </sheetData>
  <mergeCells count="15">
    <mergeCell ref="AA33:AI33"/>
    <mergeCell ref="AI10:AK10"/>
    <mergeCell ref="A1:A5"/>
    <mergeCell ref="B10:B11"/>
    <mergeCell ref="C10:C11"/>
    <mergeCell ref="A10:A11"/>
    <mergeCell ref="B1:AH5"/>
    <mergeCell ref="A17:A21"/>
    <mergeCell ref="A22:A25"/>
    <mergeCell ref="A12:A16"/>
    <mergeCell ref="AC37:AH42"/>
    <mergeCell ref="T35:W35"/>
    <mergeCell ref="S36:X36"/>
    <mergeCell ref="AD35:AG35"/>
    <mergeCell ref="S37:Y42"/>
  </mergeCells>
  <pageMargins left="0.7" right="0.7" top="0.75" bottom="0.75" header="0.3" footer="0.3"/>
  <pageSetup orientation="portrait" r:id="rId1"/>
  <ignoredErrors>
    <ignoredError sqref="B19 B21:B25 B12:B16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0" ma:contentTypeDescription="Tạo tài liệu mới." ma:contentTypeScope="" ma:versionID="1ae4a6d81d698d5cdfcae5fd090313e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d33d09e68d18e889415593bf559b2c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E1482F-4BC8-4DA0-97C9-BA0056504C3A}"/>
</file>

<file path=customXml/itemProps2.xml><?xml version="1.0" encoding="utf-8"?>
<ds:datastoreItem xmlns:ds="http://schemas.openxmlformats.org/officeDocument/2006/customXml" ds:itemID="{719AA0F4-B893-4E57-8EF0-E89513B0DCAE}"/>
</file>

<file path=customXml/itemProps3.xml><?xml version="1.0" encoding="utf-8"?>
<ds:datastoreItem xmlns:ds="http://schemas.openxmlformats.org/officeDocument/2006/customXml" ds:itemID="{0B7B9E0E-7B55-48EB-BF7B-2792A2B8D5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Hai, Vu Hoang (SAG.SPA)</cp:lastModifiedBy>
  <cp:revision/>
  <dcterms:created xsi:type="dcterms:W3CDTF">2025-10-02T01:46:48Z</dcterms:created>
  <dcterms:modified xsi:type="dcterms:W3CDTF">2025-10-15T10:28:58Z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</Properties>
</file>